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evisystems-my.sharepoint.com/personal/syong_trevisystems_com/Documents/Documents/"/>
    </mc:Choice>
  </mc:AlternateContent>
  <xr:revisionPtr revIDLastSave="0" documentId="8_{8391D5D9-DE28-4F0B-9EC5-775A62B2272E}" xr6:coauthVersionLast="47" xr6:coauthVersionMax="47" xr10:uidLastSave="{00000000-0000-0000-0000-000000000000}"/>
  <bookViews>
    <workbookView xWindow="-110" yWindow="-110" windowWidth="19420" windowHeight="11500" xr2:uid="{AAD1D6B0-DE5A-45B5-8C6C-570ED720C231}"/>
  </bookViews>
  <sheets>
    <sheet name="Sheet1" sheetId="1" r:id="rId1"/>
  </sheets>
  <externalReferences>
    <externalReference r:id="rId2"/>
  </externalReferences>
  <definedNames>
    <definedName name="Capacity">Sheet1!$A$53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6" i="1" l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A53" i="1"/>
  <c r="AA43" i="1" s="1"/>
  <c r="AA44" i="1" s="1"/>
  <c r="B51" i="1"/>
  <c r="D51" i="1" s="1"/>
  <c r="AH50" i="1"/>
  <c r="AF50" i="1"/>
  <c r="V50" i="1"/>
  <c r="U50" i="1"/>
  <c r="B52" i="1" s="1"/>
  <c r="D52" i="1" s="1"/>
  <c r="S50" i="1"/>
  <c r="Q50" i="1"/>
  <c r="O50" i="1"/>
  <c r="M50" i="1"/>
  <c r="K50" i="1"/>
  <c r="J50" i="1"/>
  <c r="M49" i="1"/>
  <c r="I49" i="1"/>
  <c r="K49" i="1" s="1"/>
  <c r="G49" i="1"/>
  <c r="H49" i="1" s="1"/>
  <c r="J49" i="1" s="1"/>
  <c r="C49" i="1"/>
  <c r="AF48" i="1"/>
  <c r="Y48" i="1"/>
  <c r="W48" i="1"/>
  <c r="V48" i="1"/>
  <c r="S48" i="1"/>
  <c r="R48" i="1"/>
  <c r="Q48" i="1"/>
  <c r="P48" i="1"/>
  <c r="M48" i="1"/>
  <c r="L48" i="1"/>
  <c r="I48" i="1"/>
  <c r="K48" i="1" s="1"/>
  <c r="H48" i="1"/>
  <c r="J48" i="1" s="1"/>
  <c r="G48" i="1"/>
  <c r="E48" i="1"/>
  <c r="F48" i="1" s="1"/>
  <c r="AE47" i="1"/>
  <c r="AD47" i="1"/>
  <c r="AC47" i="1"/>
  <c r="M47" i="1"/>
  <c r="I47" i="1"/>
  <c r="K47" i="1" s="1"/>
  <c r="G47" i="1"/>
  <c r="H47" i="1" s="1"/>
  <c r="J47" i="1" s="1"/>
  <c r="B47" i="1"/>
  <c r="C47" i="1" s="1"/>
  <c r="D47" i="1" s="1"/>
  <c r="AR46" i="1"/>
  <c r="AQ46" i="1"/>
  <c r="AP46" i="1"/>
  <c r="AO46" i="1"/>
  <c r="AN46" i="1"/>
  <c r="AM46" i="1"/>
  <c r="AL46" i="1"/>
  <c r="AK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G46" i="1"/>
  <c r="F46" i="1"/>
  <c r="E46" i="1"/>
  <c r="D46" i="1"/>
  <c r="C46" i="1"/>
  <c r="B46" i="1"/>
  <c r="I45" i="1"/>
  <c r="G45" i="1"/>
  <c r="H45" i="1" s="1"/>
  <c r="H46" i="1" s="1"/>
  <c r="D45" i="1"/>
  <c r="AR44" i="1"/>
  <c r="AQ44" i="1"/>
  <c r="AP44" i="1"/>
  <c r="AN44" i="1"/>
  <c r="AM44" i="1"/>
  <c r="AL44" i="1"/>
  <c r="AK44" i="1"/>
  <c r="H44" i="1"/>
  <c r="J44" i="1" s="1"/>
  <c r="G44" i="1"/>
  <c r="AR43" i="1"/>
  <c r="AQ43" i="1"/>
  <c r="AO43" i="1"/>
  <c r="AN43" i="1"/>
  <c r="AM43" i="1"/>
  <c r="AL43" i="1"/>
  <c r="AK43" i="1"/>
  <c r="AH43" i="1"/>
  <c r="AH44" i="1" s="1"/>
  <c r="AG44" i="1" s="1"/>
  <c r="AG43" i="1" s="1"/>
  <c r="AF43" i="1"/>
  <c r="AF44" i="1" s="1"/>
  <c r="AE43" i="1"/>
  <c r="AE44" i="1" s="1"/>
  <c r="AD43" i="1"/>
  <c r="AD44" i="1" s="1"/>
  <c r="AC43" i="1"/>
  <c r="AC44" i="1" s="1"/>
  <c r="AB43" i="1"/>
  <c r="Z43" i="1"/>
  <c r="Z44" i="1" s="1"/>
  <c r="Y43" i="1"/>
  <c r="X43" i="1"/>
  <c r="X44" i="1" s="1"/>
  <c r="V43" i="1"/>
  <c r="W43" i="1" s="1"/>
  <c r="U43" i="1"/>
  <c r="U44" i="1" s="1"/>
  <c r="S43" i="1"/>
  <c r="S44" i="1" s="1"/>
  <c r="R43" i="1"/>
  <c r="R44" i="1" s="1"/>
  <c r="P43" i="1"/>
  <c r="P44" i="1" s="1"/>
  <c r="Q44" i="1" s="1"/>
  <c r="O43" i="1"/>
  <c r="N43" i="1"/>
  <c r="N44" i="1" s="1"/>
  <c r="M43" i="1"/>
  <c r="L43" i="1"/>
  <c r="J43" i="1"/>
  <c r="I43" i="1"/>
  <c r="K43" i="1" s="1"/>
  <c r="H43" i="1"/>
  <c r="G43" i="1"/>
  <c r="E43" i="1"/>
  <c r="F43" i="1" s="1"/>
  <c r="B43" i="1"/>
  <c r="B44" i="1" s="1"/>
  <c r="C44" i="1" s="1"/>
  <c r="AH42" i="1"/>
  <c r="AG42" i="1"/>
  <c r="AF42" i="1"/>
  <c r="AE42" i="1"/>
  <c r="AD42" i="1"/>
  <c r="AC42" i="1"/>
  <c r="AB42" i="1"/>
  <c r="AA42" i="1"/>
  <c r="Z42" i="1"/>
  <c r="Y42" i="1"/>
  <c r="X42" i="1"/>
  <c r="V42" i="1"/>
  <c r="W42" i="1" s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E42" i="1"/>
  <c r="F42" i="1" s="1"/>
  <c r="C42" i="1"/>
  <c r="D42" i="1" s="1"/>
  <c r="D44" i="1" l="1"/>
  <c r="C53" i="1"/>
  <c r="Z53" i="1"/>
  <c r="O44" i="1"/>
  <c r="V44" i="1"/>
  <c r="W44" i="1" s="1"/>
  <c r="Y44" i="1" s="1"/>
  <c r="AB44" i="1"/>
  <c r="Q43" i="1"/>
  <c r="T43" i="1"/>
  <c r="T44" i="1" s="1"/>
  <c r="T53" i="1" s="1"/>
  <c r="AP43" i="1"/>
  <c r="AO44" i="1"/>
  <c r="I44" i="1"/>
  <c r="K44" i="1" s="1"/>
  <c r="L44" i="1" s="1"/>
  <c r="M44" i="1" s="1"/>
  <c r="M58" i="1" s="1"/>
  <c r="E44" i="1"/>
  <c r="F44" i="1" s="1"/>
  <c r="C43" i="1"/>
  <c r="D43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<sst xmlns="http://schemas.openxmlformats.org/spreadsheetml/2006/main" count="82" uniqueCount="79">
  <si>
    <r>
      <t>Microsoft 1,000 m</t>
    </r>
    <r>
      <rPr>
        <vertAlign val="superscript"/>
        <sz val="22"/>
        <color theme="1"/>
        <rFont val="Aptos Narrow"/>
        <family val="2"/>
        <scheme val="minor"/>
      </rPr>
      <t>3</t>
    </r>
    <r>
      <rPr>
        <sz val="22"/>
        <color theme="1"/>
        <rFont val="Aptos Narrow"/>
        <family val="2"/>
        <scheme val="minor"/>
      </rPr>
      <t>/Day System</t>
    </r>
  </si>
  <si>
    <t>Supernatant</t>
  </si>
  <si>
    <t>Product</t>
  </si>
  <si>
    <t>Water</t>
  </si>
  <si>
    <t>Dilute</t>
  </si>
  <si>
    <t>Feedwater</t>
  </si>
  <si>
    <t>Solution</t>
  </si>
  <si>
    <t>Strong Solution</t>
  </si>
  <si>
    <t>Brine</t>
  </si>
  <si>
    <t>System Conditions</t>
  </si>
  <si>
    <t>Design Conditions</t>
  </si>
  <si>
    <t>Stream Description</t>
  </si>
  <si>
    <t>Filtered Feed</t>
  </si>
  <si>
    <t>Feed Water to FO Membranes</t>
  </si>
  <si>
    <t>Diluted Draw Solution</t>
  </si>
  <si>
    <t>Diluted Draw to HXs</t>
  </si>
  <si>
    <t>Diluted Draw to Water / Weak      HX-2</t>
  </si>
  <si>
    <t>Diluted Draw and Nano Reject to HX-2</t>
  </si>
  <si>
    <t>Diluted Draw to Strong / Weak HX-1</t>
  </si>
  <si>
    <t>Warm Dilute Draw from HX-2</t>
  </si>
  <si>
    <t>Warm Dilute Draw from HX-1</t>
  </si>
  <si>
    <t>Warm Dilute Draw to Boost HX-3</t>
  </si>
  <si>
    <t>Hot Dilute Draw</t>
  </si>
  <si>
    <t>Hot Water Return from Boost HX-3</t>
  </si>
  <si>
    <t>Hot Water Feed to Boost       HX-3</t>
  </si>
  <si>
    <t>Hot Conc. Draw</t>
  </si>
  <si>
    <t>Cooled Conc Draw</t>
  </si>
  <si>
    <t>Super-natant</t>
  </si>
  <si>
    <t>Cooled Super-natant</t>
  </si>
  <si>
    <t>Cooling Water to HX-4</t>
  </si>
  <si>
    <t>Return Cooling Water from         HX-4</t>
  </si>
  <si>
    <t>Chilled Super-natant</t>
  </si>
  <si>
    <t>Pressurized Super-natant to Nanofilter</t>
  </si>
  <si>
    <t>Nanofilter Permeate</t>
  </si>
  <si>
    <t>Nanofilter Reject</t>
  </si>
  <si>
    <t>Pressurized RO Feed</t>
  </si>
  <si>
    <t>Low Pressure RO Permeate</t>
  </si>
  <si>
    <t>Low Pressure RO Reject</t>
  </si>
  <si>
    <t>Remineralized Product Water</t>
  </si>
  <si>
    <t>FO Membrane Brine</t>
  </si>
  <si>
    <t>System Brine</t>
  </si>
  <si>
    <t>Chilled Strong Draw</t>
  </si>
  <si>
    <t>Return Cooling Water from HX-5</t>
  </si>
  <si>
    <t>Cooling Water to HX-5</t>
  </si>
  <si>
    <t>Chemical Injections</t>
  </si>
  <si>
    <t>Sulfuric Acid (35%)</t>
  </si>
  <si>
    <t>Sodium Hypo Chlorite to Feed Water (5%)</t>
  </si>
  <si>
    <t>Sodium Meta Bisulfite (10%)</t>
  </si>
  <si>
    <t>Sodium Hydroxide to Weak Draw (5%)</t>
  </si>
  <si>
    <t>Sodium Hydroxide to Product Water (5%)</t>
  </si>
  <si>
    <t>Calcium Chloride</t>
  </si>
  <si>
    <t>Sodium Hypo Chlorite to Product Water (12%)</t>
  </si>
  <si>
    <t>Scale Inhibitor</t>
  </si>
  <si>
    <t>Parameter</t>
  </si>
  <si>
    <t>Temperature (deg C)</t>
  </si>
  <si>
    <t>6 - 33</t>
  </si>
  <si>
    <r>
      <t>Flowrate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/h)</t>
    </r>
  </si>
  <si>
    <t>ml/min</t>
  </si>
  <si>
    <t>Mass Flowrate (kg/hr)</t>
  </si>
  <si>
    <t>g/min</t>
  </si>
  <si>
    <t>Pressure (psi)</t>
  </si>
  <si>
    <t>Pressure (bar)</t>
  </si>
  <si>
    <t>TDS (mg/l)</t>
  </si>
  <si>
    <t>Polymer Concentration (wt%)</t>
  </si>
  <si>
    <t>pH</t>
  </si>
  <si>
    <t>Heat Transfer (kW)</t>
  </si>
  <si>
    <r>
      <t>kWh/m</t>
    </r>
    <r>
      <rPr>
        <vertAlign val="superscript"/>
        <sz val="11"/>
        <color theme="1"/>
        <rFont val="Aptos Narrow"/>
        <family val="2"/>
        <scheme val="minor"/>
      </rPr>
      <t>3</t>
    </r>
  </si>
  <si>
    <t>Supplied Heat</t>
  </si>
  <si>
    <t>kW</t>
  </si>
  <si>
    <t>Supplied Cooling</t>
  </si>
  <si>
    <r>
      <t>m</t>
    </r>
    <r>
      <rPr>
        <vertAlign val="superscript"/>
        <sz val="11"/>
        <color theme="0"/>
        <rFont val="Aptos Narrow"/>
        <family val="2"/>
        <scheme val="minor"/>
      </rPr>
      <t>3</t>
    </r>
    <r>
      <rPr>
        <sz val="11"/>
        <color theme="0"/>
        <rFont val="Aptos Narrow"/>
        <family val="2"/>
        <scheme val="minor"/>
      </rPr>
      <t>/h</t>
    </r>
  </si>
  <si>
    <t>Density</t>
  </si>
  <si>
    <t>m3/day per m3</t>
  </si>
  <si>
    <t>l/min</t>
  </si>
  <si>
    <t>Trevi Systems, Inc. Proprietary and Confidential</t>
  </si>
  <si>
    <t>Trevi Systems</t>
  </si>
  <si>
    <t>30,45C In</t>
  </si>
  <si>
    <t>18,33C out</t>
  </si>
  <si>
    <t>Data Center heat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</si>
</sst>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%"/>
    <numFmt numFmtId="167" formatCode="0.00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2"/>
      <color theme="1"/>
      <name val="Aptos Narrow"/>
      <family val="2"/>
      <scheme val="minor"/>
    </font>
    <font>
      <vertAlign val="superscript"/>
      <sz val="22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4" fillId="0" borderId="0" xfId="0" applyFont="1"/>
    <xf numFmtId="2" fontId="0" fillId="0" borderId="0" xfId="0" applyNumberFormat="1"/>
    <xf numFmtId="0" fontId="6" fillId="0" borderId="0" xfId="0" applyFont="1"/>
    <xf numFmtId="2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left"/>
    </xf>
    <xf numFmtId="0" fontId="7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165" fontId="7" fillId="0" borderId="0" xfId="0" applyNumberFormat="1" applyFont="1"/>
    <xf numFmtId="0" fontId="0" fillId="0" borderId="0" xfId="0" quotePrefix="1"/>
    <xf numFmtId="0" fontId="0" fillId="0" borderId="0" xfId="0" quotePrefix="1" applyAlignment="1">
      <alignment horizontal="right"/>
    </xf>
    <xf numFmtId="0" fontId="2" fillId="0" borderId="0" xfId="0" applyFont="1"/>
    <xf numFmtId="0" fontId="0" fillId="0" borderId="0" xfId="0" applyAlignment="1">
      <alignment wrapText="1"/>
    </xf>
    <xf numFmtId="0" fontId="2" fillId="0" borderId="1" xfId="0" applyFont="1" applyBorder="1"/>
    <xf numFmtId="0" fontId="0" fillId="0" borderId="2" xfId="0" applyBorder="1" applyAlignment="1">
      <alignment horizont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0" fillId="0" borderId="3" xfId="0" applyBorder="1" applyAlignment="1">
      <alignment wrapText="1"/>
    </xf>
    <xf numFmtId="0" fontId="0" fillId="0" borderId="7" xfId="0" quotePrefix="1" applyBorder="1" applyAlignment="1">
      <alignment wrapText="1"/>
    </xf>
    <xf numFmtId="0" fontId="0" fillId="0" borderId="8" xfId="0" applyBorder="1" applyAlignment="1">
      <alignment wrapText="1"/>
    </xf>
    <xf numFmtId="165" fontId="0" fillId="0" borderId="8" xfId="0" applyNumberFormat="1" applyBorder="1" applyAlignment="1">
      <alignment wrapText="1"/>
    </xf>
    <xf numFmtId="165" fontId="0" fillId="0" borderId="8" xfId="0" applyNumberFormat="1" applyBorder="1"/>
    <xf numFmtId="165" fontId="0" fillId="0" borderId="9" xfId="0" applyNumberFormat="1" applyBorder="1"/>
    <xf numFmtId="165" fontId="0" fillId="0" borderId="1" xfId="0" applyNumberFormat="1" applyBorder="1"/>
    <xf numFmtId="165" fontId="0" fillId="0" borderId="10" xfId="0" applyNumberFormat="1" applyBorder="1"/>
    <xf numFmtId="165" fontId="0" fillId="0" borderId="11" xfId="0" applyNumberFormat="1" applyBorder="1" applyAlignment="1">
      <alignment wrapText="1"/>
    </xf>
    <xf numFmtId="165" fontId="0" fillId="0" borderId="12" xfId="0" applyNumberFormat="1" applyBorder="1" applyAlignment="1">
      <alignment wrapText="1"/>
    </xf>
    <xf numFmtId="164" fontId="0" fillId="0" borderId="12" xfId="0" applyNumberFormat="1" applyBorder="1" applyAlignment="1">
      <alignment wrapText="1"/>
    </xf>
    <xf numFmtId="165" fontId="0" fillId="0" borderId="13" xfId="0" applyNumberFormat="1" applyBorder="1" applyAlignment="1">
      <alignment wrapText="1"/>
    </xf>
    <xf numFmtId="2" fontId="0" fillId="0" borderId="3" xfId="0" applyNumberFormat="1" applyBorder="1"/>
    <xf numFmtId="2" fontId="0" fillId="0" borderId="14" xfId="0" applyNumberFormat="1" applyBorder="1" applyAlignment="1">
      <alignment wrapText="1"/>
    </xf>
    <xf numFmtId="164" fontId="0" fillId="0" borderId="3" xfId="0" applyNumberFormat="1" applyBorder="1"/>
    <xf numFmtId="164" fontId="0" fillId="0" borderId="14" xfId="0" applyNumberFormat="1" applyBorder="1" applyAlignment="1">
      <alignment wrapText="1"/>
    </xf>
    <xf numFmtId="0" fontId="0" fillId="0" borderId="3" xfId="0" applyBorder="1"/>
    <xf numFmtId="1" fontId="0" fillId="0" borderId="11" xfId="0" applyNumberFormat="1" applyBorder="1" applyAlignment="1">
      <alignment wrapText="1"/>
    </xf>
    <xf numFmtId="1" fontId="0" fillId="0" borderId="12" xfId="0" applyNumberFormat="1" applyBorder="1" applyAlignment="1">
      <alignment wrapText="1"/>
    </xf>
    <xf numFmtId="1" fontId="0" fillId="0" borderId="12" xfId="0" applyNumberFormat="1" applyBorder="1"/>
    <xf numFmtId="1" fontId="0" fillId="0" borderId="13" xfId="0" applyNumberFormat="1" applyBorder="1"/>
    <xf numFmtId="1" fontId="0" fillId="0" borderId="3" xfId="0" applyNumberFormat="1" applyBorder="1"/>
    <xf numFmtId="1" fontId="0" fillId="0" borderId="14" xfId="0" applyNumberFormat="1" applyBorder="1"/>
    <xf numFmtId="165" fontId="0" fillId="0" borderId="12" xfId="0" applyNumberFormat="1" applyBorder="1"/>
    <xf numFmtId="165" fontId="0" fillId="0" borderId="14" xfId="0" applyNumberFormat="1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wrapText="1"/>
    </xf>
    <xf numFmtId="2" fontId="0" fillId="0" borderId="11" xfId="0" applyNumberFormat="1" applyBorder="1" applyAlignment="1">
      <alignment wrapText="1"/>
    </xf>
    <xf numFmtId="2" fontId="0" fillId="0" borderId="12" xfId="0" applyNumberFormat="1" applyBorder="1" applyAlignment="1">
      <alignment wrapText="1"/>
    </xf>
    <xf numFmtId="2" fontId="0" fillId="0" borderId="3" xfId="0" applyNumberFormat="1" applyBorder="1" applyAlignment="1">
      <alignment wrapText="1"/>
    </xf>
    <xf numFmtId="0" fontId="0" fillId="0" borderId="16" xfId="0" applyBorder="1" applyAlignment="1">
      <alignment wrapText="1"/>
    </xf>
    <xf numFmtId="9" fontId="0" fillId="0" borderId="17" xfId="1" applyFont="1" applyBorder="1" applyAlignment="1">
      <alignment wrapText="1"/>
    </xf>
    <xf numFmtId="9" fontId="0" fillId="0" borderId="18" xfId="1" applyFont="1" applyBorder="1" applyAlignment="1">
      <alignment wrapText="1"/>
    </xf>
    <xf numFmtId="166" fontId="0" fillId="0" borderId="18" xfId="0" applyNumberFormat="1" applyBorder="1" applyAlignment="1">
      <alignment wrapText="1"/>
    </xf>
    <xf numFmtId="10" fontId="0" fillId="0" borderId="18" xfId="0" applyNumberFormat="1" applyBorder="1" applyAlignment="1">
      <alignment wrapText="1"/>
    </xf>
    <xf numFmtId="10" fontId="0" fillId="0" borderId="18" xfId="0" applyNumberFormat="1" applyBorder="1"/>
    <xf numFmtId="10" fontId="0" fillId="0" borderId="19" xfId="0" applyNumberFormat="1" applyBorder="1"/>
    <xf numFmtId="10" fontId="0" fillId="0" borderId="20" xfId="0" applyNumberFormat="1" applyBorder="1"/>
    <xf numFmtId="10" fontId="0" fillId="0" borderId="21" xfId="0" applyNumberFormat="1" applyBorder="1"/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4" xfId="0" applyBorder="1"/>
    <xf numFmtId="0" fontId="0" fillId="0" borderId="25" xfId="0" applyBorder="1"/>
    <xf numFmtId="0" fontId="0" fillId="0" borderId="22" xfId="0" applyBorder="1"/>
    <xf numFmtId="0" fontId="0" fillId="0" borderId="26" xfId="0" applyBorder="1"/>
    <xf numFmtId="1" fontId="0" fillId="0" borderId="0" xfId="0" applyNumberFormat="1"/>
    <xf numFmtId="1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3" fillId="0" borderId="0" xfId="0" applyFont="1"/>
    <xf numFmtId="167" fontId="0" fillId="0" borderId="0" xfId="0" applyNumberFormat="1"/>
    <xf numFmtId="165" fontId="3" fillId="0" borderId="0" xfId="0" applyNumberFormat="1" applyFont="1"/>
    <xf numFmtId="0" fontId="10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12</xdr:row>
      <xdr:rowOff>23812</xdr:rowOff>
    </xdr:from>
    <xdr:to>
      <xdr:col>17</xdr:col>
      <xdr:colOff>11906</xdr:colOff>
      <xdr:row>24</xdr:row>
      <xdr:rowOff>11906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DE6C952-6D29-4F89-84AA-95E7EBDA1A0D}"/>
            </a:ext>
          </a:extLst>
        </xdr:cNvPr>
        <xdr:cNvSpPr/>
      </xdr:nvSpPr>
      <xdr:spPr>
        <a:xfrm>
          <a:off x="13936980" y="2443162"/>
          <a:ext cx="735806" cy="218265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9525</xdr:colOff>
      <xdr:row>12</xdr:row>
      <xdr:rowOff>23811</xdr:rowOff>
    </xdr:from>
    <xdr:to>
      <xdr:col>17</xdr:col>
      <xdr:colOff>590550</xdr:colOff>
      <xdr:row>23</xdr:row>
      <xdr:rowOff>178593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B056595-7771-4385-824F-6CEE4C2B4160}"/>
            </a:ext>
          </a:extLst>
        </xdr:cNvPr>
        <xdr:cNvSpPr/>
      </xdr:nvSpPr>
      <xdr:spPr>
        <a:xfrm>
          <a:off x="14670405" y="2443161"/>
          <a:ext cx="581025" cy="216646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297657</xdr:colOff>
      <xdr:row>17</xdr:row>
      <xdr:rowOff>33338</xdr:rowOff>
    </xdr:from>
    <xdr:to>
      <xdr:col>17</xdr:col>
      <xdr:colOff>326232</xdr:colOff>
      <xdr:row>17</xdr:row>
      <xdr:rowOff>33338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CE163C1-EAD5-4C5F-99B5-E04FC7709511}"/>
            </a:ext>
          </a:extLst>
        </xdr:cNvPr>
        <xdr:cNvCxnSpPr/>
      </xdr:nvCxnSpPr>
      <xdr:spPr>
        <a:xfrm>
          <a:off x="14215587" y="3367088"/>
          <a:ext cx="771525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400050</xdr:colOff>
      <xdr:row>10</xdr:row>
      <xdr:rowOff>38100</xdr:rowOff>
    </xdr:from>
    <xdr:to>
      <xdr:col>17</xdr:col>
      <xdr:colOff>0</xdr:colOff>
      <xdr:row>16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DC646E1-2D14-4125-B476-4035259F96B8}"/>
            </a:ext>
          </a:extLst>
        </xdr:cNvPr>
        <xdr:cNvSpPr txBox="1"/>
      </xdr:nvSpPr>
      <xdr:spPr>
        <a:xfrm rot="16200000">
          <a:off x="13883640" y="2526030"/>
          <a:ext cx="121158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92D050"/>
              </a:solidFill>
            </a:rPr>
            <a:t>Membrane</a:t>
          </a:r>
        </a:p>
      </xdr:txBody>
    </xdr:sp>
    <xdr:clientData/>
  </xdr:twoCellAnchor>
  <xdr:twoCellAnchor>
    <xdr:from>
      <xdr:col>17</xdr:col>
      <xdr:colOff>57150</xdr:colOff>
      <xdr:row>19</xdr:row>
      <xdr:rowOff>154781</xdr:rowOff>
    </xdr:from>
    <xdr:to>
      <xdr:col>17</xdr:col>
      <xdr:colOff>581025</xdr:colOff>
      <xdr:row>23</xdr:row>
      <xdr:rowOff>40481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FA82725-D84D-4D6B-BD12-205DB74A5657}"/>
            </a:ext>
          </a:extLst>
        </xdr:cNvPr>
        <xdr:cNvSpPr txBox="1"/>
      </xdr:nvSpPr>
      <xdr:spPr>
        <a:xfrm>
          <a:off x="14718030" y="3854291"/>
          <a:ext cx="523875" cy="617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Draw Soln</a:t>
          </a:r>
        </a:p>
      </xdr:txBody>
    </xdr:sp>
    <xdr:clientData/>
  </xdr:twoCellAnchor>
  <xdr:twoCellAnchor>
    <xdr:from>
      <xdr:col>16</xdr:col>
      <xdr:colOff>197643</xdr:colOff>
      <xdr:row>17</xdr:row>
      <xdr:rowOff>100012</xdr:rowOff>
    </xdr:from>
    <xdr:to>
      <xdr:col>17</xdr:col>
      <xdr:colOff>578643</xdr:colOff>
      <xdr:row>18</xdr:row>
      <xdr:rowOff>119062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A8A91C0-9872-4902-9DA6-C57876F3EAEE}"/>
            </a:ext>
          </a:extLst>
        </xdr:cNvPr>
        <xdr:cNvSpPr txBox="1"/>
      </xdr:nvSpPr>
      <xdr:spPr>
        <a:xfrm>
          <a:off x="14115573" y="3433762"/>
          <a:ext cx="1123950" cy="2019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>
              <a:solidFill>
                <a:srgbClr val="FFFF00"/>
              </a:solidFill>
            </a:rPr>
            <a:t>Fresh Water</a:t>
          </a:r>
        </a:p>
      </xdr:txBody>
    </xdr:sp>
    <xdr:clientData/>
  </xdr:twoCellAnchor>
  <xdr:twoCellAnchor>
    <xdr:from>
      <xdr:col>17</xdr:col>
      <xdr:colOff>602457</xdr:colOff>
      <xdr:row>17</xdr:row>
      <xdr:rowOff>16669</xdr:rowOff>
    </xdr:from>
    <xdr:to>
      <xdr:col>20</xdr:col>
      <xdr:colOff>605819</xdr:colOff>
      <xdr:row>17</xdr:row>
      <xdr:rowOff>16669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A8FCF97-568B-47C1-9210-F62A10D57EAB}"/>
            </a:ext>
          </a:extLst>
        </xdr:cNvPr>
        <xdr:cNvCxnSpPr/>
      </xdr:nvCxnSpPr>
      <xdr:spPr>
        <a:xfrm>
          <a:off x="15263337" y="3350419"/>
          <a:ext cx="204933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22411</xdr:colOff>
      <xdr:row>15</xdr:row>
      <xdr:rowOff>12887</xdr:rowOff>
    </xdr:from>
    <xdr:to>
      <xdr:col>21</xdr:col>
      <xdr:colOff>22411</xdr:colOff>
      <xdr:row>19</xdr:row>
      <xdr:rowOff>76200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44875EB-CAA5-4E8B-91B4-1612F86BCBF5}"/>
            </a:ext>
          </a:extLst>
        </xdr:cNvPr>
        <xdr:cNvCxnSpPr/>
      </xdr:nvCxnSpPr>
      <xdr:spPr>
        <a:xfrm>
          <a:off x="17411251" y="2980877"/>
          <a:ext cx="0" cy="79483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23813</xdr:colOff>
      <xdr:row>19</xdr:row>
      <xdr:rowOff>67654</xdr:rowOff>
    </xdr:from>
    <xdr:to>
      <xdr:col>25</xdr:col>
      <xdr:colOff>120651</xdr:colOff>
      <xdr:row>19</xdr:row>
      <xdr:rowOff>67654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B2DE537-9EA6-47C8-9A22-1C14408062F5}"/>
            </a:ext>
          </a:extLst>
        </xdr:cNvPr>
        <xdr:cNvCxnSpPr/>
      </xdr:nvCxnSpPr>
      <xdr:spPr>
        <a:xfrm>
          <a:off x="17412653" y="3767164"/>
          <a:ext cx="3563938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23813</xdr:colOff>
      <xdr:row>14</xdr:row>
      <xdr:rowOff>185224</xdr:rowOff>
    </xdr:from>
    <xdr:to>
      <xdr:col>25</xdr:col>
      <xdr:colOff>132557</xdr:colOff>
      <xdr:row>14</xdr:row>
      <xdr:rowOff>185224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A3EB0532-CC20-43AB-B63D-5DB91AE2CE37}"/>
            </a:ext>
          </a:extLst>
        </xdr:cNvPr>
        <xdr:cNvCxnSpPr/>
      </xdr:nvCxnSpPr>
      <xdr:spPr>
        <a:xfrm>
          <a:off x="17412653" y="2966524"/>
          <a:ext cx="3575844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12</xdr:row>
      <xdr:rowOff>11906</xdr:rowOff>
    </xdr:from>
    <xdr:to>
      <xdr:col>35</xdr:col>
      <xdr:colOff>9525</xdr:colOff>
      <xdr:row>17</xdr:row>
      <xdr:rowOff>11906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6DA5A5-BC72-4D9C-9A93-F3AD7C36EAD8}"/>
            </a:ext>
          </a:extLst>
        </xdr:cNvPr>
        <xdr:cNvSpPr/>
      </xdr:nvSpPr>
      <xdr:spPr>
        <a:xfrm>
          <a:off x="28536900" y="2431256"/>
          <a:ext cx="920115" cy="91440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761999</xdr:colOff>
      <xdr:row>17</xdr:row>
      <xdr:rowOff>11907</xdr:rowOff>
    </xdr:from>
    <xdr:to>
      <xdr:col>35</xdr:col>
      <xdr:colOff>23810</xdr:colOff>
      <xdr:row>22</xdr:row>
      <xdr:rowOff>23813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8789AB8-40AB-4868-8328-DAEA484D4B11}"/>
            </a:ext>
          </a:extLst>
        </xdr:cNvPr>
        <xdr:cNvSpPr/>
      </xdr:nvSpPr>
      <xdr:spPr>
        <a:xfrm>
          <a:off x="28472129" y="3345657"/>
          <a:ext cx="999171" cy="926306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666749</xdr:colOff>
      <xdr:row>11</xdr:row>
      <xdr:rowOff>154778</xdr:rowOff>
    </xdr:from>
    <xdr:to>
      <xdr:col>35</xdr:col>
      <xdr:colOff>135731</xdr:colOff>
      <xdr:row>13</xdr:row>
      <xdr:rowOff>128585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13DE0A2-9274-43E8-8990-1FE366662F8F}"/>
            </a:ext>
          </a:extLst>
        </xdr:cNvPr>
        <xdr:cNvSpPr txBox="1"/>
      </xdr:nvSpPr>
      <xdr:spPr>
        <a:xfrm>
          <a:off x="28376879" y="2391248"/>
          <a:ext cx="1206342" cy="3395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Water</a:t>
          </a:r>
        </a:p>
      </xdr:txBody>
    </xdr:sp>
    <xdr:clientData/>
  </xdr:twoCellAnchor>
  <xdr:twoCellAnchor>
    <xdr:from>
      <xdr:col>34</xdr:col>
      <xdr:colOff>400050</xdr:colOff>
      <xdr:row>13</xdr:row>
      <xdr:rowOff>35718</xdr:rowOff>
    </xdr:from>
    <xdr:to>
      <xdr:col>34</xdr:col>
      <xdr:colOff>400050</xdr:colOff>
      <xdr:row>16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1DFCCDFB-373D-4971-9058-DFA5B1D72B64}"/>
            </a:ext>
          </a:extLst>
        </xdr:cNvPr>
        <xdr:cNvCxnSpPr/>
      </xdr:nvCxnSpPr>
      <xdr:spPr>
        <a:xfrm flipV="1">
          <a:off x="28936950" y="2637948"/>
          <a:ext cx="0" cy="51292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411957</xdr:colOff>
      <xdr:row>17</xdr:row>
      <xdr:rowOff>19051</xdr:rowOff>
    </xdr:from>
    <xdr:to>
      <xdr:col>34</xdr:col>
      <xdr:colOff>411957</xdr:colOff>
      <xdr:row>19</xdr:row>
      <xdr:rowOff>178594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A7B93D6-F0D2-4DB9-82DF-6C366D4828F5}"/>
            </a:ext>
          </a:extLst>
        </xdr:cNvPr>
        <xdr:cNvCxnSpPr/>
      </xdr:nvCxnSpPr>
      <xdr:spPr>
        <a:xfrm>
          <a:off x="28948857" y="3352801"/>
          <a:ext cx="0" cy="52530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633413</xdr:colOff>
      <xdr:row>19</xdr:row>
      <xdr:rowOff>142873</xdr:rowOff>
    </xdr:from>
    <xdr:to>
      <xdr:col>35</xdr:col>
      <xdr:colOff>223837</xdr:colOff>
      <xdr:row>22</xdr:row>
      <xdr:rowOff>59530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37E634D-9627-4A64-A8AC-D6C2CF947B9A}"/>
            </a:ext>
          </a:extLst>
        </xdr:cNvPr>
        <xdr:cNvSpPr txBox="1"/>
      </xdr:nvSpPr>
      <xdr:spPr>
        <a:xfrm>
          <a:off x="28343543" y="3842383"/>
          <a:ext cx="1327784" cy="4652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Strong </a:t>
          </a:r>
        </a:p>
        <a:p>
          <a:pPr algn="ctr"/>
          <a:r>
            <a:rPr lang="en-US" sz="1100"/>
            <a:t>Solution</a:t>
          </a:r>
        </a:p>
      </xdr:txBody>
    </xdr:sp>
    <xdr:clientData/>
  </xdr:twoCellAnchor>
  <xdr:twoCellAnchor>
    <xdr:from>
      <xdr:col>34</xdr:col>
      <xdr:colOff>76200</xdr:colOff>
      <xdr:row>15</xdr:row>
      <xdr:rowOff>174625</xdr:rowOff>
    </xdr:from>
    <xdr:to>
      <xdr:col>35</xdr:col>
      <xdr:colOff>238919</xdr:colOff>
      <xdr:row>18</xdr:row>
      <xdr:rowOff>65087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7033B2C-2EAE-458B-932C-D68D314D7D57}"/>
            </a:ext>
          </a:extLst>
        </xdr:cNvPr>
        <xdr:cNvSpPr txBox="1"/>
      </xdr:nvSpPr>
      <xdr:spPr>
        <a:xfrm>
          <a:off x="28613100" y="3142615"/>
          <a:ext cx="1073309" cy="4391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Separator</a:t>
          </a:r>
        </a:p>
      </xdr:txBody>
    </xdr:sp>
    <xdr:clientData/>
  </xdr:twoCellAnchor>
  <xdr:twoCellAnchor>
    <xdr:from>
      <xdr:col>25</xdr:col>
      <xdr:colOff>773906</xdr:colOff>
      <xdr:row>15</xdr:row>
      <xdr:rowOff>2381</xdr:rowOff>
    </xdr:from>
    <xdr:to>
      <xdr:col>27</xdr:col>
      <xdr:colOff>-1</xdr:colOff>
      <xdr:row>15</xdr:row>
      <xdr:rowOff>2381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D8CD520B-4D37-482C-AE68-FA978A2BBDB5}"/>
            </a:ext>
          </a:extLst>
        </xdr:cNvPr>
        <xdr:cNvCxnSpPr/>
      </xdr:nvCxnSpPr>
      <xdr:spPr>
        <a:xfrm>
          <a:off x="21629846" y="2970371"/>
          <a:ext cx="1005363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797719</xdr:colOff>
      <xdr:row>19</xdr:row>
      <xdr:rowOff>71717</xdr:rowOff>
    </xdr:from>
    <xdr:to>
      <xdr:col>27</xdr:col>
      <xdr:colOff>11906</xdr:colOff>
      <xdr:row>19</xdr:row>
      <xdr:rowOff>71717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2C625207-98C6-4E4D-8ADA-1EE38ACAAEE2}"/>
            </a:ext>
          </a:extLst>
        </xdr:cNvPr>
        <xdr:cNvCxnSpPr/>
      </xdr:nvCxnSpPr>
      <xdr:spPr>
        <a:xfrm>
          <a:off x="21653659" y="3771227"/>
          <a:ext cx="993457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584200</xdr:colOff>
      <xdr:row>17</xdr:row>
      <xdr:rowOff>7145</xdr:rowOff>
    </xdr:from>
    <xdr:to>
      <xdr:col>34</xdr:col>
      <xdr:colOff>0</xdr:colOff>
      <xdr:row>17</xdr:row>
      <xdr:rowOff>7145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7EBBA769-1C50-4963-B3E7-271F01F115DD}"/>
            </a:ext>
          </a:extLst>
        </xdr:cNvPr>
        <xdr:cNvCxnSpPr/>
      </xdr:nvCxnSpPr>
      <xdr:spPr>
        <a:xfrm>
          <a:off x="25017730" y="3340895"/>
          <a:ext cx="351917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388144</xdr:colOff>
      <xdr:row>9</xdr:row>
      <xdr:rowOff>-1</xdr:rowOff>
    </xdr:from>
    <xdr:to>
      <xdr:col>34</xdr:col>
      <xdr:colOff>388144</xdr:colOff>
      <xdr:row>12</xdr:row>
      <xdr:rowOff>2382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CB23EFFF-30F1-4F31-B9E4-5068B0BE7C25}"/>
            </a:ext>
          </a:extLst>
        </xdr:cNvPr>
        <xdr:cNvCxnSpPr/>
      </xdr:nvCxnSpPr>
      <xdr:spPr>
        <a:xfrm flipV="1">
          <a:off x="28925044" y="1870709"/>
          <a:ext cx="0" cy="55102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303696</xdr:colOff>
      <xdr:row>8</xdr:row>
      <xdr:rowOff>180181</xdr:rowOff>
    </xdr:from>
    <xdr:to>
      <xdr:col>34</xdr:col>
      <xdr:colOff>404812</xdr:colOff>
      <xdr:row>8</xdr:row>
      <xdr:rowOff>180181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476A2AAF-C15B-486D-B251-B2976CE33AB0}"/>
            </a:ext>
          </a:extLst>
        </xdr:cNvPr>
        <xdr:cNvCxnSpPr/>
      </xdr:nvCxnSpPr>
      <xdr:spPr>
        <a:xfrm flipH="1">
          <a:off x="22142616" y="1868011"/>
          <a:ext cx="679909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452438</xdr:colOff>
      <xdr:row>22</xdr:row>
      <xdr:rowOff>52388</xdr:rowOff>
    </xdr:from>
    <xdr:to>
      <xdr:col>34</xdr:col>
      <xdr:colOff>452438</xdr:colOff>
      <xdr:row>23</xdr:row>
      <xdr:rowOff>23812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FEC986C6-3CEA-43DD-9CB1-55943D235B1B}"/>
            </a:ext>
          </a:extLst>
        </xdr:cNvPr>
        <xdr:cNvCxnSpPr/>
      </xdr:nvCxnSpPr>
      <xdr:spPr>
        <a:xfrm flipV="1">
          <a:off x="28989338" y="4300538"/>
          <a:ext cx="0" cy="15430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381000</xdr:colOff>
      <xdr:row>23</xdr:row>
      <xdr:rowOff>7143</xdr:rowOff>
    </xdr:from>
    <xdr:to>
      <xdr:col>34</xdr:col>
      <xdr:colOff>452437</xdr:colOff>
      <xdr:row>23</xdr:row>
      <xdr:rowOff>7143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F5CCB080-5599-443A-87B8-D18E22E11F1E}"/>
            </a:ext>
          </a:extLst>
        </xdr:cNvPr>
        <xdr:cNvCxnSpPr/>
      </xdr:nvCxnSpPr>
      <xdr:spPr>
        <a:xfrm flipH="1">
          <a:off x="22219920" y="4438173"/>
          <a:ext cx="676941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366712</xdr:colOff>
      <xdr:row>22</xdr:row>
      <xdr:rowOff>71437</xdr:rowOff>
    </xdr:from>
    <xdr:to>
      <xdr:col>26</xdr:col>
      <xdr:colOff>366712</xdr:colOff>
      <xdr:row>23</xdr:row>
      <xdr:rowOff>23812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E382C3E1-1DF8-4AA2-BF4A-C10A2402D669}"/>
            </a:ext>
          </a:extLst>
        </xdr:cNvPr>
        <xdr:cNvCxnSpPr/>
      </xdr:nvCxnSpPr>
      <xdr:spPr>
        <a:xfrm>
          <a:off x="22205632" y="4319587"/>
          <a:ext cx="0" cy="135255"/>
        </a:xfrm>
        <a:prstGeom prst="line">
          <a:avLst/>
        </a:prstGeom>
        <a:ln>
          <a:headEnd type="non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6350</xdr:colOff>
      <xdr:row>16</xdr:row>
      <xdr:rowOff>57151</xdr:rowOff>
    </xdr:from>
    <xdr:to>
      <xdr:col>29</xdr:col>
      <xdr:colOff>596901</xdr:colOff>
      <xdr:row>20</xdr:row>
      <xdr:rowOff>47625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54DF64F-1CD9-4AE9-9DB8-8C6731243CD0}"/>
            </a:ext>
          </a:extLst>
        </xdr:cNvPr>
        <xdr:cNvSpPr/>
      </xdr:nvSpPr>
      <xdr:spPr>
        <a:xfrm>
          <a:off x="24439880" y="3208021"/>
          <a:ext cx="590551" cy="721994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904875</xdr:colOff>
      <xdr:row>15</xdr:row>
      <xdr:rowOff>11906</xdr:rowOff>
    </xdr:from>
    <xdr:to>
      <xdr:col>30</xdr:col>
      <xdr:colOff>0</xdr:colOff>
      <xdr:row>21</xdr:row>
      <xdr:rowOff>154780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7886400-35BD-48C6-B9B4-60D780C7C5DB}"/>
            </a:ext>
          </a:extLst>
        </xdr:cNvPr>
        <xdr:cNvSpPr txBox="1"/>
      </xdr:nvSpPr>
      <xdr:spPr>
        <a:xfrm>
          <a:off x="24222075" y="2979896"/>
          <a:ext cx="1057275" cy="1240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Heated</a:t>
          </a:r>
        </a:p>
        <a:p>
          <a:pPr algn="ctr"/>
          <a:r>
            <a:rPr lang="en-US" sz="1100"/>
            <a:t>Water/ Weak         HX-3</a:t>
          </a:r>
        </a:p>
      </xdr:txBody>
    </xdr:sp>
    <xdr:clientData/>
  </xdr:twoCellAnchor>
  <xdr:twoCellAnchor>
    <xdr:from>
      <xdr:col>29</xdr:col>
      <xdr:colOff>569913</xdr:colOff>
      <xdr:row>19</xdr:row>
      <xdr:rowOff>20638</xdr:rowOff>
    </xdr:from>
    <xdr:to>
      <xdr:col>31</xdr:col>
      <xdr:colOff>0</xdr:colOff>
      <xdr:row>19</xdr:row>
      <xdr:rowOff>20638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BCE75305-E262-469E-8920-0D69E918CB83}"/>
            </a:ext>
          </a:extLst>
        </xdr:cNvPr>
        <xdr:cNvCxnSpPr/>
      </xdr:nvCxnSpPr>
      <xdr:spPr>
        <a:xfrm>
          <a:off x="25003443" y="3720148"/>
          <a:ext cx="1175067" cy="0"/>
        </a:xfrm>
        <a:prstGeom prst="line">
          <a:avLst/>
        </a:prstGeom>
        <a:ln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333374</xdr:colOff>
      <xdr:row>18</xdr:row>
      <xdr:rowOff>186530</xdr:rowOff>
    </xdr:from>
    <xdr:to>
      <xdr:col>28</xdr:col>
      <xdr:colOff>1007269</xdr:colOff>
      <xdr:row>18</xdr:row>
      <xdr:rowOff>186530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6EC088F4-316A-4564-ACC6-E16458121206}"/>
            </a:ext>
          </a:extLst>
        </xdr:cNvPr>
        <xdr:cNvCxnSpPr/>
      </xdr:nvCxnSpPr>
      <xdr:spPr>
        <a:xfrm>
          <a:off x="22968584" y="3699350"/>
          <a:ext cx="1355885" cy="0"/>
        </a:xfrm>
        <a:prstGeom prst="line">
          <a:avLst/>
        </a:prstGeom>
        <a:ln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142876</xdr:colOff>
      <xdr:row>12</xdr:row>
      <xdr:rowOff>0</xdr:rowOff>
    </xdr:from>
    <xdr:to>
      <xdr:col>25</xdr:col>
      <xdr:colOff>797719</xdr:colOff>
      <xdr:row>16</xdr:row>
      <xdr:rowOff>14288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567F6777-C407-4FAB-B1AD-AD8832276EB7}"/>
            </a:ext>
          </a:extLst>
        </xdr:cNvPr>
        <xdr:cNvSpPr/>
      </xdr:nvSpPr>
      <xdr:spPr>
        <a:xfrm>
          <a:off x="20998816" y="2419350"/>
          <a:ext cx="654843" cy="745808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11907</xdr:colOff>
      <xdr:row>12</xdr:row>
      <xdr:rowOff>71436</xdr:rowOff>
    </xdr:from>
    <xdr:to>
      <xdr:col>26</xdr:col>
      <xdr:colOff>11907</xdr:colOff>
      <xdr:row>15</xdr:row>
      <xdr:rowOff>138112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8DC220C-ED97-4012-9B0F-0687A3154989}"/>
            </a:ext>
          </a:extLst>
        </xdr:cNvPr>
        <xdr:cNvSpPr txBox="1"/>
      </xdr:nvSpPr>
      <xdr:spPr>
        <a:xfrm>
          <a:off x="20867847" y="2490786"/>
          <a:ext cx="982980" cy="6153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Water/   Weak           HX-2</a:t>
          </a:r>
        </a:p>
      </xdr:txBody>
    </xdr:sp>
    <xdr:clientData/>
  </xdr:twoCellAnchor>
  <xdr:twoCellAnchor>
    <xdr:from>
      <xdr:col>25</xdr:col>
      <xdr:colOff>154781</xdr:colOff>
      <xdr:row>19</xdr:row>
      <xdr:rowOff>11907</xdr:rowOff>
    </xdr:from>
    <xdr:to>
      <xdr:col>25</xdr:col>
      <xdr:colOff>785812</xdr:colOff>
      <xdr:row>23</xdr:row>
      <xdr:rowOff>-1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123C360A-1CBB-4997-A1E0-A457B8C371CB}"/>
            </a:ext>
          </a:extLst>
        </xdr:cNvPr>
        <xdr:cNvSpPr/>
      </xdr:nvSpPr>
      <xdr:spPr>
        <a:xfrm>
          <a:off x="21010721" y="3711417"/>
          <a:ext cx="631031" cy="719612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702468</xdr:colOff>
      <xdr:row>13</xdr:row>
      <xdr:rowOff>7144</xdr:rowOff>
    </xdr:from>
    <xdr:to>
      <xdr:col>25</xdr:col>
      <xdr:colOff>119062</xdr:colOff>
      <xdr:row>13</xdr:row>
      <xdr:rowOff>7144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C0BDB92-0A06-4938-A5BB-4C1DBD209AE3}"/>
            </a:ext>
          </a:extLst>
        </xdr:cNvPr>
        <xdr:cNvCxnSpPr/>
      </xdr:nvCxnSpPr>
      <xdr:spPr>
        <a:xfrm flipH="1">
          <a:off x="19851528" y="2609374"/>
          <a:ext cx="1123474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11906</xdr:colOff>
      <xdr:row>22</xdr:row>
      <xdr:rowOff>66675</xdr:rowOff>
    </xdr:from>
    <xdr:to>
      <xdr:col>25</xdr:col>
      <xdr:colOff>166687</xdr:colOff>
      <xdr:row>22</xdr:row>
      <xdr:rowOff>66675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E21183D-6D18-4E96-A938-97B88CE603B6}"/>
            </a:ext>
          </a:extLst>
        </xdr:cNvPr>
        <xdr:cNvCxnSpPr/>
      </xdr:nvCxnSpPr>
      <xdr:spPr>
        <a:xfrm flipH="1">
          <a:off x="17400746" y="4314825"/>
          <a:ext cx="3621881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773907</xdr:colOff>
      <xdr:row>22</xdr:row>
      <xdr:rowOff>59531</xdr:rowOff>
    </xdr:from>
    <xdr:to>
      <xdr:col>26</xdr:col>
      <xdr:colOff>381000</xdr:colOff>
      <xdr:row>22</xdr:row>
      <xdr:rowOff>59531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8F84D3E3-5025-4FE0-B923-109F98958A99}"/>
            </a:ext>
          </a:extLst>
        </xdr:cNvPr>
        <xdr:cNvCxnSpPr/>
      </xdr:nvCxnSpPr>
      <xdr:spPr>
        <a:xfrm flipH="1">
          <a:off x="21629847" y="4307681"/>
          <a:ext cx="590073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305490</xdr:colOff>
      <xdr:row>9</xdr:row>
      <xdr:rowOff>-1</xdr:rowOff>
    </xdr:from>
    <xdr:to>
      <xdr:col>26</xdr:col>
      <xdr:colOff>305490</xdr:colOff>
      <xdr:row>13</xdr:row>
      <xdr:rowOff>2382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D50CA010-89A9-4697-A4EA-8DD8312F0144}"/>
            </a:ext>
          </a:extLst>
        </xdr:cNvPr>
        <xdr:cNvCxnSpPr/>
      </xdr:nvCxnSpPr>
      <xdr:spPr>
        <a:xfrm>
          <a:off x="22144410" y="1870709"/>
          <a:ext cx="0" cy="733903"/>
        </a:xfrm>
        <a:prstGeom prst="line">
          <a:avLst/>
        </a:prstGeom>
        <a:ln>
          <a:headEnd type="non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809626</xdr:colOff>
      <xdr:row>12</xdr:row>
      <xdr:rowOff>178594</xdr:rowOff>
    </xdr:from>
    <xdr:to>
      <xdr:col>26</xdr:col>
      <xdr:colOff>309563</xdr:colOff>
      <xdr:row>12</xdr:row>
      <xdr:rowOff>178594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3AF501FE-5BF2-4BEA-AC44-C5448ABE1066}"/>
            </a:ext>
          </a:extLst>
        </xdr:cNvPr>
        <xdr:cNvCxnSpPr/>
      </xdr:nvCxnSpPr>
      <xdr:spPr>
        <a:xfrm flipH="1">
          <a:off x="21665566" y="2597944"/>
          <a:ext cx="482917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</xdr:row>
      <xdr:rowOff>59532</xdr:rowOff>
    </xdr:from>
    <xdr:to>
      <xdr:col>9</xdr:col>
      <xdr:colOff>23814</xdr:colOff>
      <xdr:row>12</xdr:row>
      <xdr:rowOff>35718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16F3AE03-0CB8-4B7C-B088-713899EDEDD6}"/>
            </a:ext>
          </a:extLst>
        </xdr:cNvPr>
        <xdr:cNvSpPr/>
      </xdr:nvSpPr>
      <xdr:spPr>
        <a:xfrm>
          <a:off x="7490460" y="1747362"/>
          <a:ext cx="892494" cy="70770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661988</xdr:colOff>
      <xdr:row>8</xdr:row>
      <xdr:rowOff>11906</xdr:rowOff>
    </xdr:from>
    <xdr:to>
      <xdr:col>9</xdr:col>
      <xdr:colOff>214312</xdr:colOff>
      <xdr:row>12</xdr:row>
      <xdr:rowOff>71437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0B79BD5-82C9-4D4B-83D6-D10AC0F7C3D1}"/>
            </a:ext>
          </a:extLst>
        </xdr:cNvPr>
        <xdr:cNvSpPr txBox="1"/>
      </xdr:nvSpPr>
      <xdr:spPr>
        <a:xfrm>
          <a:off x="7253288" y="1699736"/>
          <a:ext cx="1320164" cy="7910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Carbon</a:t>
          </a:r>
          <a:r>
            <a:rPr lang="en-US" sz="1100" baseline="0"/>
            <a:t> /        Remin.</a:t>
          </a:r>
          <a:endParaRPr lang="en-US" sz="1100"/>
        </a:p>
      </xdr:txBody>
    </xdr:sp>
    <xdr:clientData/>
  </xdr:twoCellAnchor>
  <xdr:twoCellAnchor>
    <xdr:from>
      <xdr:col>1</xdr:col>
      <xdr:colOff>11906</xdr:colOff>
      <xdr:row>16</xdr:row>
      <xdr:rowOff>182077</xdr:rowOff>
    </xdr:from>
    <xdr:to>
      <xdr:col>2</xdr:col>
      <xdr:colOff>11905</xdr:colOff>
      <xdr:row>16</xdr:row>
      <xdr:rowOff>182077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CA538652-3AAF-4854-911B-88A9FCDFFAFD}"/>
            </a:ext>
          </a:extLst>
        </xdr:cNvPr>
        <xdr:cNvCxnSpPr/>
      </xdr:nvCxnSpPr>
      <xdr:spPr>
        <a:xfrm>
          <a:off x="1676876" y="3332947"/>
          <a:ext cx="880109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148827</xdr:colOff>
      <xdr:row>9</xdr:row>
      <xdr:rowOff>183356</xdr:rowOff>
    </xdr:from>
    <xdr:to>
      <xdr:col>14</xdr:col>
      <xdr:colOff>155902</xdr:colOff>
      <xdr:row>16</xdr:row>
      <xdr:rowOff>95246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8CDCE66-5665-4F2A-BAB0-77CB05132E4E}"/>
            </a:ext>
          </a:extLst>
        </xdr:cNvPr>
        <xdr:cNvCxnSpPr>
          <a:endCxn id="174" idx="0"/>
        </xdr:cNvCxnSpPr>
      </xdr:nvCxnSpPr>
      <xdr:spPr>
        <a:xfrm flipH="1">
          <a:off x="12580857" y="2054066"/>
          <a:ext cx="7075" cy="11920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</xdr:row>
      <xdr:rowOff>136525</xdr:rowOff>
    </xdr:from>
    <xdr:to>
      <xdr:col>16</xdr:col>
      <xdr:colOff>321469</xdr:colOff>
      <xdr:row>25</xdr:row>
      <xdr:rowOff>136525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8247F990-F865-45F1-AF95-19FC5F29272D}"/>
            </a:ext>
          </a:extLst>
        </xdr:cNvPr>
        <xdr:cNvCxnSpPr/>
      </xdr:nvCxnSpPr>
      <xdr:spPr>
        <a:xfrm flipH="1">
          <a:off x="1664970" y="4933315"/>
          <a:ext cx="125744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23813</xdr:colOff>
      <xdr:row>10</xdr:row>
      <xdr:rowOff>66675</xdr:rowOff>
    </xdr:from>
    <xdr:to>
      <xdr:col>8</xdr:col>
      <xdr:colOff>23812</xdr:colOff>
      <xdr:row>10</xdr:row>
      <xdr:rowOff>66675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58C4095F-5207-449C-90FE-AEDF4F72211D}"/>
            </a:ext>
          </a:extLst>
        </xdr:cNvPr>
        <xdr:cNvCxnSpPr/>
      </xdr:nvCxnSpPr>
      <xdr:spPr>
        <a:xfrm flipH="1">
          <a:off x="1688783" y="2120265"/>
          <a:ext cx="582548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297657</xdr:colOff>
      <xdr:row>8</xdr:row>
      <xdr:rowOff>188118</xdr:rowOff>
    </xdr:from>
    <xdr:to>
      <xdr:col>22</xdr:col>
      <xdr:colOff>392906</xdr:colOff>
      <xdr:row>8</xdr:row>
      <xdr:rowOff>188118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48CFCC48-436D-46B3-ACE0-92786CFBE15B}"/>
            </a:ext>
          </a:extLst>
        </xdr:cNvPr>
        <xdr:cNvCxnSpPr/>
      </xdr:nvCxnSpPr>
      <xdr:spPr>
        <a:xfrm flipH="1">
          <a:off x="17004507" y="1872138"/>
          <a:ext cx="16573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473869</xdr:colOff>
      <xdr:row>9</xdr:row>
      <xdr:rowOff>9525</xdr:rowOff>
    </xdr:from>
    <xdr:to>
      <xdr:col>12</xdr:col>
      <xdr:colOff>473869</xdr:colOff>
      <xdr:row>10</xdr:row>
      <xdr:rowOff>95250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6E1F5961-7897-44BF-8785-596B8D6B7D50}"/>
            </a:ext>
          </a:extLst>
        </xdr:cNvPr>
        <xdr:cNvCxnSpPr/>
      </xdr:nvCxnSpPr>
      <xdr:spPr>
        <a:xfrm>
          <a:off x="11179969" y="1880235"/>
          <a:ext cx="0" cy="2686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1000125</xdr:colOff>
      <xdr:row>10</xdr:row>
      <xdr:rowOff>83344</xdr:rowOff>
    </xdr:from>
    <xdr:to>
      <xdr:col>12</xdr:col>
      <xdr:colOff>476249</xdr:colOff>
      <xdr:row>10</xdr:row>
      <xdr:rowOff>83344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A5103FA2-8CF0-47B7-AEF4-9E6D51A936B2}"/>
            </a:ext>
          </a:extLst>
        </xdr:cNvPr>
        <xdr:cNvCxnSpPr/>
      </xdr:nvCxnSpPr>
      <xdr:spPr>
        <a:xfrm flipH="1">
          <a:off x="8357235" y="2136934"/>
          <a:ext cx="282511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11906</xdr:colOff>
      <xdr:row>25</xdr:row>
      <xdr:rowOff>11906</xdr:rowOff>
    </xdr:from>
    <xdr:to>
      <xdr:col>30</xdr:col>
      <xdr:colOff>23814</xdr:colOff>
      <xdr:row>29</xdr:row>
      <xdr:rowOff>2381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E3E45AE4-4EDF-4259-A4CF-15A30722300E}"/>
            </a:ext>
          </a:extLst>
        </xdr:cNvPr>
        <xdr:cNvSpPr/>
      </xdr:nvSpPr>
      <xdr:spPr>
        <a:xfrm>
          <a:off x="24445436" y="4808696"/>
          <a:ext cx="857728" cy="72199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502445</xdr:colOff>
      <xdr:row>24</xdr:row>
      <xdr:rowOff>107156</xdr:rowOff>
    </xdr:from>
    <xdr:to>
      <xdr:col>30</xdr:col>
      <xdr:colOff>578645</xdr:colOff>
      <xdr:row>29</xdr:row>
      <xdr:rowOff>45244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C79FB40F-0F4A-4FA3-906E-95AB5D3F0C8D}"/>
            </a:ext>
          </a:extLst>
        </xdr:cNvPr>
        <xdr:cNvSpPr txBox="1"/>
      </xdr:nvSpPr>
      <xdr:spPr>
        <a:xfrm>
          <a:off x="23819645" y="4721066"/>
          <a:ext cx="2038350" cy="8524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 baseline="0"/>
        </a:p>
        <a:p>
          <a:pPr algn="ctr"/>
          <a:endParaRPr lang="en-US" sz="1100" baseline="0"/>
        </a:p>
        <a:p>
          <a:pPr algn="ctr"/>
          <a:r>
            <a:rPr lang="en-US" sz="1100" baseline="0"/>
            <a:t>Heat Pump</a:t>
          </a:r>
          <a:endParaRPr lang="en-US" sz="1100"/>
        </a:p>
      </xdr:txBody>
    </xdr:sp>
    <xdr:clientData/>
  </xdr:twoCellAnchor>
  <xdr:twoCellAnchor>
    <xdr:from>
      <xdr:col>30</xdr:col>
      <xdr:colOff>35719</xdr:colOff>
      <xdr:row>26</xdr:row>
      <xdr:rowOff>178595</xdr:rowOff>
    </xdr:from>
    <xdr:to>
      <xdr:col>31</xdr:col>
      <xdr:colOff>0</xdr:colOff>
      <xdr:row>26</xdr:row>
      <xdr:rowOff>178595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144FDC49-AEDB-4C69-8086-252C5EB64E3E}"/>
            </a:ext>
          </a:extLst>
        </xdr:cNvPr>
        <xdr:cNvCxnSpPr/>
      </xdr:nvCxnSpPr>
      <xdr:spPr>
        <a:xfrm>
          <a:off x="25315069" y="5158265"/>
          <a:ext cx="863441" cy="0"/>
        </a:xfrm>
        <a:prstGeom prst="line">
          <a:avLst/>
        </a:prstGeom>
        <a:ln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831850</xdr:colOff>
      <xdr:row>23</xdr:row>
      <xdr:rowOff>107157</xdr:rowOff>
    </xdr:from>
    <xdr:to>
      <xdr:col>31</xdr:col>
      <xdr:colOff>4763</xdr:colOff>
      <xdr:row>27</xdr:row>
      <xdr:rowOff>7144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19FCA29F-1012-4F86-B056-8665314B8A2E}"/>
            </a:ext>
          </a:extLst>
        </xdr:cNvPr>
        <xdr:cNvCxnSpPr/>
      </xdr:nvCxnSpPr>
      <xdr:spPr>
        <a:xfrm flipH="1" flipV="1">
          <a:off x="26111200" y="4538187"/>
          <a:ext cx="72073" cy="631507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708024</xdr:colOff>
      <xdr:row>22</xdr:row>
      <xdr:rowOff>63500</xdr:rowOff>
    </xdr:from>
    <xdr:to>
      <xdr:col>31</xdr:col>
      <xdr:colOff>122237</xdr:colOff>
      <xdr:row>23</xdr:row>
      <xdr:rowOff>119063</xdr:rowOff>
    </xdr:to>
    <xdr:sp macro="" textlink="">
      <xdr:nvSpPr>
        <xdr:cNvPr id="52" name="Arc 51">
          <a:extLst>
            <a:ext uri="{FF2B5EF4-FFF2-40B4-BE49-F238E27FC236}">
              <a16:creationId xmlns:a16="http://schemas.microsoft.com/office/drawing/2014/main" id="{FC29BBD7-ABC7-445E-BBAF-36E59D14336E}"/>
            </a:ext>
          </a:extLst>
        </xdr:cNvPr>
        <xdr:cNvSpPr/>
      </xdr:nvSpPr>
      <xdr:spPr>
        <a:xfrm>
          <a:off x="25987374" y="4311650"/>
          <a:ext cx="313373" cy="238443"/>
        </a:xfrm>
        <a:prstGeom prst="arc">
          <a:avLst>
            <a:gd name="adj1" fmla="val 16200000"/>
            <a:gd name="adj2" fmla="val 5400000"/>
          </a:avLst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1190</xdr:colOff>
      <xdr:row>19</xdr:row>
      <xdr:rowOff>35718</xdr:rowOff>
    </xdr:from>
    <xdr:to>
      <xdr:col>31</xdr:col>
      <xdr:colOff>1190</xdr:colOff>
      <xdr:row>22</xdr:row>
      <xdr:rowOff>65882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44767F98-A011-4DD1-9239-5CBFA9ACF3B1}"/>
            </a:ext>
          </a:extLst>
        </xdr:cNvPr>
        <xdr:cNvCxnSpPr/>
      </xdr:nvCxnSpPr>
      <xdr:spPr>
        <a:xfrm flipV="1">
          <a:off x="26179700" y="3735228"/>
          <a:ext cx="0" cy="578804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322590</xdr:colOff>
      <xdr:row>23</xdr:row>
      <xdr:rowOff>74800</xdr:rowOff>
    </xdr:from>
    <xdr:to>
      <xdr:col>27</xdr:col>
      <xdr:colOff>322590</xdr:colOff>
      <xdr:row>27</xdr:row>
      <xdr:rowOff>11906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A65B28B7-A155-4F70-9E43-CF7625F5B5DA}"/>
            </a:ext>
          </a:extLst>
        </xdr:cNvPr>
        <xdr:cNvCxnSpPr>
          <a:endCxn id="55" idx="2"/>
        </xdr:cNvCxnSpPr>
      </xdr:nvCxnSpPr>
      <xdr:spPr>
        <a:xfrm flipV="1">
          <a:off x="22957800" y="4505830"/>
          <a:ext cx="0" cy="668626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201006</xdr:colOff>
      <xdr:row>22</xdr:row>
      <xdr:rowOff>50987</xdr:rowOff>
    </xdr:from>
    <xdr:to>
      <xdr:col>27</xdr:col>
      <xdr:colOff>444174</xdr:colOff>
      <xdr:row>23</xdr:row>
      <xdr:rowOff>74800</xdr:rowOff>
    </xdr:to>
    <xdr:sp macro="" textlink="">
      <xdr:nvSpPr>
        <xdr:cNvPr id="55" name="Arc 54">
          <a:extLst>
            <a:ext uri="{FF2B5EF4-FFF2-40B4-BE49-F238E27FC236}">
              <a16:creationId xmlns:a16="http://schemas.microsoft.com/office/drawing/2014/main" id="{ACD61D0B-F97B-42CD-82DD-1D6C0A90B34A}"/>
            </a:ext>
          </a:extLst>
        </xdr:cNvPr>
        <xdr:cNvSpPr/>
      </xdr:nvSpPr>
      <xdr:spPr>
        <a:xfrm>
          <a:off x="22836216" y="4299137"/>
          <a:ext cx="243168" cy="206693"/>
        </a:xfrm>
        <a:prstGeom prst="arc">
          <a:avLst>
            <a:gd name="adj1" fmla="val 16200000"/>
            <a:gd name="adj2" fmla="val 5400000"/>
          </a:avLst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308162</xdr:colOff>
      <xdr:row>15</xdr:row>
      <xdr:rowOff>108138</xdr:rowOff>
    </xdr:from>
    <xdr:to>
      <xdr:col>27</xdr:col>
      <xdr:colOff>308162</xdr:colOff>
      <xdr:row>15</xdr:row>
      <xdr:rowOff>108138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1E768AB-780E-4213-BB9F-82E565CBB7B6}"/>
            </a:ext>
          </a:extLst>
        </xdr:cNvPr>
        <xdr:cNvCxnSpPr/>
      </xdr:nvCxnSpPr>
      <xdr:spPr>
        <a:xfrm>
          <a:off x="22943372" y="3076128"/>
          <a:ext cx="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323209</xdr:colOff>
      <xdr:row>19</xdr:row>
      <xdr:rowOff>0</xdr:rowOff>
    </xdr:from>
    <xdr:to>
      <xdr:col>27</xdr:col>
      <xdr:colOff>327211</xdr:colOff>
      <xdr:row>22</xdr:row>
      <xdr:rowOff>71437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A68AE459-07E4-4C33-B384-D5F145901750}"/>
            </a:ext>
          </a:extLst>
        </xdr:cNvPr>
        <xdr:cNvCxnSpPr/>
      </xdr:nvCxnSpPr>
      <xdr:spPr>
        <a:xfrm flipH="1" flipV="1">
          <a:off x="22958419" y="3699510"/>
          <a:ext cx="4002" cy="620077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333374</xdr:colOff>
      <xdr:row>27</xdr:row>
      <xdr:rowOff>0</xdr:rowOff>
    </xdr:from>
    <xdr:to>
      <xdr:col>28</xdr:col>
      <xdr:colOff>1012031</xdr:colOff>
      <xdr:row>27</xdr:row>
      <xdr:rowOff>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7F72C23E-CF81-41D8-9A00-A351249993F9}"/>
            </a:ext>
          </a:extLst>
        </xdr:cNvPr>
        <xdr:cNvCxnSpPr/>
      </xdr:nvCxnSpPr>
      <xdr:spPr>
        <a:xfrm>
          <a:off x="22968584" y="5162550"/>
          <a:ext cx="1360647" cy="0"/>
        </a:xfrm>
        <a:prstGeom prst="line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14286</xdr:colOff>
      <xdr:row>26</xdr:row>
      <xdr:rowOff>476</xdr:rowOff>
    </xdr:from>
    <xdr:to>
      <xdr:col>30</xdr:col>
      <xdr:colOff>11906</xdr:colOff>
      <xdr:row>28</xdr:row>
      <xdr:rowOff>16668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371A40C5-AFE9-4429-9249-EA14BEDFD95B}"/>
            </a:ext>
          </a:extLst>
        </xdr:cNvPr>
        <xdr:cNvGrpSpPr/>
      </xdr:nvGrpSpPr>
      <xdr:grpSpPr>
        <a:xfrm>
          <a:off x="18401064" y="4995809"/>
          <a:ext cx="604398" cy="383081"/>
          <a:chOff x="6715126" y="4191000"/>
          <a:chExt cx="571499" cy="381000"/>
        </a:xfrm>
      </xdr:grpSpPr>
      <xdr:sp macro="" textlink="">
        <xdr:nvSpPr>
          <xdr:cNvPr id="60" name="Arc 59">
            <a:extLst>
              <a:ext uri="{FF2B5EF4-FFF2-40B4-BE49-F238E27FC236}">
                <a16:creationId xmlns:a16="http://schemas.microsoft.com/office/drawing/2014/main" id="{8A5FD31F-247F-0E07-D035-5D849F4CDDD4}"/>
              </a:ext>
            </a:extLst>
          </xdr:cNvPr>
          <xdr:cNvSpPr/>
        </xdr:nvSpPr>
        <xdr:spPr>
          <a:xfrm>
            <a:off x="6715126" y="4191000"/>
            <a:ext cx="190500" cy="361950"/>
          </a:xfrm>
          <a:prstGeom prst="arc">
            <a:avLst>
              <a:gd name="adj1" fmla="val 10781897"/>
              <a:gd name="adj2" fmla="val 0"/>
            </a:avLst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1" name="Arc 60">
            <a:extLst>
              <a:ext uri="{FF2B5EF4-FFF2-40B4-BE49-F238E27FC236}">
                <a16:creationId xmlns:a16="http://schemas.microsoft.com/office/drawing/2014/main" id="{B0E4760D-14FA-D8C4-A6F8-B7FC2E054C02}"/>
              </a:ext>
            </a:extLst>
          </xdr:cNvPr>
          <xdr:cNvSpPr/>
        </xdr:nvSpPr>
        <xdr:spPr>
          <a:xfrm>
            <a:off x="6905625" y="4200525"/>
            <a:ext cx="190500" cy="361950"/>
          </a:xfrm>
          <a:prstGeom prst="arc">
            <a:avLst>
              <a:gd name="adj1" fmla="val 10781897"/>
              <a:gd name="adj2" fmla="val 0"/>
            </a:avLst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2" name="Arc 61">
            <a:extLst>
              <a:ext uri="{FF2B5EF4-FFF2-40B4-BE49-F238E27FC236}">
                <a16:creationId xmlns:a16="http://schemas.microsoft.com/office/drawing/2014/main" id="{35F03DB0-CA5A-1990-C78C-1B8A812C87B1}"/>
              </a:ext>
            </a:extLst>
          </xdr:cNvPr>
          <xdr:cNvSpPr/>
        </xdr:nvSpPr>
        <xdr:spPr>
          <a:xfrm>
            <a:off x="7096125" y="4210050"/>
            <a:ext cx="190500" cy="361950"/>
          </a:xfrm>
          <a:prstGeom prst="arc">
            <a:avLst>
              <a:gd name="adj1" fmla="val 10781897"/>
              <a:gd name="adj2" fmla="val 0"/>
            </a:avLst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350507</xdr:colOff>
      <xdr:row>14</xdr:row>
      <xdr:rowOff>47625</xdr:rowOff>
    </xdr:from>
    <xdr:to>
      <xdr:col>1</xdr:col>
      <xdr:colOff>619125</xdr:colOff>
      <xdr:row>17</xdr:row>
      <xdr:rowOff>9403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091EDD04-54E7-4162-AACA-45A5838BAD97}"/>
            </a:ext>
          </a:extLst>
        </xdr:cNvPr>
        <xdr:cNvGrpSpPr/>
      </xdr:nvGrpSpPr>
      <xdr:grpSpPr>
        <a:xfrm>
          <a:off x="1549951" y="2841625"/>
          <a:ext cx="255918" cy="512111"/>
          <a:chOff x="1327841" y="1639958"/>
          <a:chExt cx="276087" cy="534227"/>
        </a:xfrm>
      </xdr:grpSpPr>
      <xdr:sp macro="" textlink="">
        <xdr:nvSpPr>
          <xdr:cNvPr id="64" name="Hexagon 63">
            <a:extLst>
              <a:ext uri="{FF2B5EF4-FFF2-40B4-BE49-F238E27FC236}">
                <a16:creationId xmlns:a16="http://schemas.microsoft.com/office/drawing/2014/main" id="{DAC1A19E-6090-65A5-060D-9496141912BD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65" name="Group 64">
            <a:extLst>
              <a:ext uri="{FF2B5EF4-FFF2-40B4-BE49-F238E27FC236}">
                <a16:creationId xmlns:a16="http://schemas.microsoft.com/office/drawing/2014/main" id="{859AA857-97D5-96BD-765E-1BC5175F8BAD}"/>
              </a:ext>
            </a:extLst>
          </xdr:cNvPr>
          <xdr:cNvGrpSpPr/>
        </xdr:nvGrpSpPr>
        <xdr:grpSpPr>
          <a:xfrm>
            <a:off x="1343024" y="1657349"/>
            <a:ext cx="257175" cy="516836"/>
            <a:chOff x="1343024" y="1657349"/>
            <a:chExt cx="257175" cy="516836"/>
          </a:xfrm>
        </xdr:grpSpPr>
        <xdr:cxnSp macro="">
          <xdr:nvCxnSpPr>
            <xdr:cNvPr id="66" name="Straight Connector 65">
              <a:extLst>
                <a:ext uri="{FF2B5EF4-FFF2-40B4-BE49-F238E27FC236}">
                  <a16:creationId xmlns:a16="http://schemas.microsoft.com/office/drawing/2014/main" id="{4DF76D84-9D57-53C3-22D9-5C13BB7CC58F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E831A49D-C964-E334-B16D-96D2536E6CE3}"/>
                </a:ext>
              </a:extLst>
            </xdr:cNvPr>
            <xdr:cNvSpPr txBox="1"/>
          </xdr:nvSpPr>
          <xdr:spPr>
            <a:xfrm>
              <a:off x="1343024" y="1657349"/>
              <a:ext cx="257175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</a:t>
              </a:r>
            </a:p>
          </xdr:txBody>
        </xdr:sp>
      </xdr:grpSp>
    </xdr:grpSp>
    <xdr:clientData/>
  </xdr:twoCellAnchor>
  <xdr:twoCellAnchor>
    <xdr:from>
      <xdr:col>12</xdr:col>
      <xdr:colOff>587317</xdr:colOff>
      <xdr:row>6</xdr:row>
      <xdr:rowOff>55246</xdr:rowOff>
    </xdr:from>
    <xdr:to>
      <xdr:col>13</xdr:col>
      <xdr:colOff>189546</xdr:colOff>
      <xdr:row>8</xdr:row>
      <xdr:rowOff>178594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A52F0068-C1D1-46A3-8932-0A71AB706D4A}"/>
            </a:ext>
          </a:extLst>
        </xdr:cNvPr>
        <xdr:cNvGrpSpPr/>
      </xdr:nvGrpSpPr>
      <xdr:grpSpPr>
        <a:xfrm>
          <a:off x="8658873" y="1381690"/>
          <a:ext cx="209006" cy="490237"/>
          <a:chOff x="1295399" y="1639958"/>
          <a:chExt cx="353117" cy="534227"/>
        </a:xfrm>
      </xdr:grpSpPr>
      <xdr:sp macro="" textlink="">
        <xdr:nvSpPr>
          <xdr:cNvPr id="69" name="Hexagon 68">
            <a:extLst>
              <a:ext uri="{FF2B5EF4-FFF2-40B4-BE49-F238E27FC236}">
                <a16:creationId xmlns:a16="http://schemas.microsoft.com/office/drawing/2014/main" id="{3166A0E9-B549-3971-A5F2-6F2E89DFC2F4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70" name="Group 69">
            <a:extLst>
              <a:ext uri="{FF2B5EF4-FFF2-40B4-BE49-F238E27FC236}">
                <a16:creationId xmlns:a16="http://schemas.microsoft.com/office/drawing/2014/main" id="{FDC3A1A3-7D4D-D30A-01FC-870EB2CA5AB5}"/>
              </a:ext>
            </a:extLst>
          </xdr:cNvPr>
          <xdr:cNvGrpSpPr/>
        </xdr:nvGrpSpPr>
        <xdr:grpSpPr>
          <a:xfrm>
            <a:off x="1295399" y="1657349"/>
            <a:ext cx="353117" cy="516836"/>
            <a:chOff x="1295399" y="1657349"/>
            <a:chExt cx="353117" cy="516836"/>
          </a:xfrm>
        </xdr:grpSpPr>
        <xdr:cxnSp macro="">
          <xdr:nvCxnSpPr>
            <xdr:cNvPr id="71" name="Straight Connector 70">
              <a:extLst>
                <a:ext uri="{FF2B5EF4-FFF2-40B4-BE49-F238E27FC236}">
                  <a16:creationId xmlns:a16="http://schemas.microsoft.com/office/drawing/2014/main" id="{4C51314C-C10D-E6C7-E816-97F50E8814E8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B5B2201E-7BAF-0B1D-8044-967E134C9574}"/>
                </a:ext>
              </a:extLst>
            </xdr:cNvPr>
            <xdr:cNvSpPr txBox="1"/>
          </xdr:nvSpPr>
          <xdr:spPr>
            <a:xfrm>
              <a:off x="1295399" y="1657349"/>
              <a:ext cx="353117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26</a:t>
              </a:r>
            </a:p>
          </xdr:txBody>
        </xdr:sp>
      </xdr:grpSp>
    </xdr:grpSp>
    <xdr:clientData/>
  </xdr:twoCellAnchor>
  <xdr:twoCellAnchor>
    <xdr:from>
      <xdr:col>12</xdr:col>
      <xdr:colOff>477145</xdr:colOff>
      <xdr:row>22</xdr:row>
      <xdr:rowOff>142874</xdr:rowOff>
    </xdr:from>
    <xdr:to>
      <xdr:col>13</xdr:col>
      <xdr:colOff>84931</xdr:colOff>
      <xdr:row>25</xdr:row>
      <xdr:rowOff>131795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6A3B1A3C-F8B2-4503-9887-D85E18F5F29E}"/>
            </a:ext>
          </a:extLst>
        </xdr:cNvPr>
        <xdr:cNvGrpSpPr/>
      </xdr:nvGrpSpPr>
      <xdr:grpSpPr>
        <a:xfrm>
          <a:off x="8548701" y="4404430"/>
          <a:ext cx="214563" cy="539254"/>
          <a:chOff x="1304924" y="1639958"/>
          <a:chExt cx="372167" cy="534227"/>
        </a:xfrm>
      </xdr:grpSpPr>
      <xdr:sp macro="" textlink="">
        <xdr:nvSpPr>
          <xdr:cNvPr id="74" name="Hexagon 73">
            <a:extLst>
              <a:ext uri="{FF2B5EF4-FFF2-40B4-BE49-F238E27FC236}">
                <a16:creationId xmlns:a16="http://schemas.microsoft.com/office/drawing/2014/main" id="{34C3EBDA-9D41-D10D-0C68-41D30208151F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75" name="Group 74">
            <a:extLst>
              <a:ext uri="{FF2B5EF4-FFF2-40B4-BE49-F238E27FC236}">
                <a16:creationId xmlns:a16="http://schemas.microsoft.com/office/drawing/2014/main" id="{CD99CD1C-D433-51E3-05E0-51B5627B8A83}"/>
              </a:ext>
            </a:extLst>
          </xdr:cNvPr>
          <xdr:cNvGrpSpPr/>
        </xdr:nvGrpSpPr>
        <xdr:grpSpPr>
          <a:xfrm>
            <a:off x="1304924" y="1657349"/>
            <a:ext cx="372167" cy="516836"/>
            <a:chOff x="1304924" y="1657349"/>
            <a:chExt cx="372167" cy="516836"/>
          </a:xfrm>
        </xdr:grpSpPr>
        <xdr:cxnSp macro="">
          <xdr:nvCxnSpPr>
            <xdr:cNvPr id="76" name="Straight Connector 75">
              <a:extLst>
                <a:ext uri="{FF2B5EF4-FFF2-40B4-BE49-F238E27FC236}">
                  <a16:creationId xmlns:a16="http://schemas.microsoft.com/office/drawing/2014/main" id="{02F46854-4555-2612-AE69-C3B9427C9B30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9B72450B-26B1-5D41-90F7-B00147741DF0}"/>
                </a:ext>
              </a:extLst>
            </xdr:cNvPr>
            <xdr:cNvSpPr txBox="1"/>
          </xdr:nvSpPr>
          <xdr:spPr>
            <a:xfrm>
              <a:off x="1304924" y="1657349"/>
              <a:ext cx="372167" cy="2526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30</a:t>
              </a:r>
            </a:p>
          </xdr:txBody>
        </xdr:sp>
      </xdr:grpSp>
    </xdr:grpSp>
    <xdr:clientData/>
  </xdr:twoCellAnchor>
  <xdr:twoCellAnchor>
    <xdr:from>
      <xdr:col>22</xdr:col>
      <xdr:colOff>387350</xdr:colOff>
      <xdr:row>9</xdr:row>
      <xdr:rowOff>-1</xdr:rowOff>
    </xdr:from>
    <xdr:to>
      <xdr:col>22</xdr:col>
      <xdr:colOff>387350</xdr:colOff>
      <xdr:row>13</xdr:row>
      <xdr:rowOff>11906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5073A99B-A86A-4486-ADA5-C9FAC901A0C8}"/>
            </a:ext>
          </a:extLst>
        </xdr:cNvPr>
        <xdr:cNvCxnSpPr/>
      </xdr:nvCxnSpPr>
      <xdr:spPr>
        <a:xfrm flipV="1">
          <a:off x="18656300" y="1870709"/>
          <a:ext cx="0" cy="74342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58047</xdr:colOff>
      <xdr:row>6</xdr:row>
      <xdr:rowOff>73818</xdr:rowOff>
    </xdr:from>
    <xdr:to>
      <xdr:col>21</xdr:col>
      <xdr:colOff>402432</xdr:colOff>
      <xdr:row>9</xdr:row>
      <xdr:rowOff>4795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078CAFAE-BFEB-4AAB-B1D7-052DAEF8F5B4}"/>
            </a:ext>
          </a:extLst>
        </xdr:cNvPr>
        <xdr:cNvGrpSpPr/>
      </xdr:nvGrpSpPr>
      <xdr:grpSpPr>
        <a:xfrm>
          <a:off x="13590603" y="1400262"/>
          <a:ext cx="344385" cy="481311"/>
          <a:chOff x="1295399" y="1639958"/>
          <a:chExt cx="346767" cy="534227"/>
        </a:xfrm>
      </xdr:grpSpPr>
      <xdr:sp macro="" textlink="">
        <xdr:nvSpPr>
          <xdr:cNvPr id="80" name="Hexagon 79">
            <a:extLst>
              <a:ext uri="{FF2B5EF4-FFF2-40B4-BE49-F238E27FC236}">
                <a16:creationId xmlns:a16="http://schemas.microsoft.com/office/drawing/2014/main" id="{9D2BF8D4-62E1-127B-6EE3-38B08556BB3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DF95C64C-C511-DCEE-1CF8-B6A43B48D4D8}"/>
              </a:ext>
            </a:extLst>
          </xdr:cNvPr>
          <xdr:cNvGrpSpPr/>
        </xdr:nvGrpSpPr>
        <xdr:grpSpPr>
          <a:xfrm>
            <a:off x="1295399" y="1660212"/>
            <a:ext cx="346767" cy="513973"/>
            <a:chOff x="1295399" y="1660212"/>
            <a:chExt cx="346767" cy="513973"/>
          </a:xfrm>
        </xdr:grpSpPr>
        <xdr:cxnSp macro="">
          <xdr:nvCxnSpPr>
            <xdr:cNvPr id="82" name="Straight Connector 81">
              <a:extLst>
                <a:ext uri="{FF2B5EF4-FFF2-40B4-BE49-F238E27FC236}">
                  <a16:creationId xmlns:a16="http://schemas.microsoft.com/office/drawing/2014/main" id="{D69F919C-2D53-807F-E3FE-6A91BF069158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726E6F49-DF99-5D75-A296-669A52FD8A70}"/>
                </a:ext>
              </a:extLst>
            </xdr:cNvPr>
            <xdr:cNvSpPr txBox="1"/>
          </xdr:nvSpPr>
          <xdr:spPr>
            <a:xfrm>
              <a:off x="1295399" y="1660212"/>
              <a:ext cx="346767" cy="2283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22</a:t>
              </a:r>
            </a:p>
          </xdr:txBody>
        </xdr:sp>
      </xdr:grpSp>
    </xdr:grpSp>
    <xdr:clientData/>
  </xdr:twoCellAnchor>
  <xdr:twoCellAnchor>
    <xdr:from>
      <xdr:col>21</xdr:col>
      <xdr:colOff>226321</xdr:colOff>
      <xdr:row>16</xdr:row>
      <xdr:rowOff>113506</xdr:rowOff>
    </xdr:from>
    <xdr:to>
      <xdr:col>21</xdr:col>
      <xdr:colOff>573881</xdr:colOff>
      <xdr:row>19</xdr:row>
      <xdr:rowOff>76233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A9B6AD74-2ADC-4A69-9F53-467A7F3D8135}"/>
            </a:ext>
          </a:extLst>
        </xdr:cNvPr>
        <xdr:cNvGrpSpPr/>
      </xdr:nvGrpSpPr>
      <xdr:grpSpPr>
        <a:xfrm>
          <a:off x="13758877" y="3274395"/>
          <a:ext cx="347560" cy="513060"/>
          <a:chOff x="1304924" y="1639958"/>
          <a:chExt cx="349942" cy="534227"/>
        </a:xfrm>
      </xdr:grpSpPr>
      <xdr:sp macro="" textlink="">
        <xdr:nvSpPr>
          <xdr:cNvPr id="85" name="Hexagon 84">
            <a:extLst>
              <a:ext uri="{FF2B5EF4-FFF2-40B4-BE49-F238E27FC236}">
                <a16:creationId xmlns:a16="http://schemas.microsoft.com/office/drawing/2014/main" id="{1B3E56FD-CDF9-04D7-9382-DD9273E8CCAF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86" name="Group 85">
            <a:extLst>
              <a:ext uri="{FF2B5EF4-FFF2-40B4-BE49-F238E27FC236}">
                <a16:creationId xmlns:a16="http://schemas.microsoft.com/office/drawing/2014/main" id="{2661EE97-DC23-B28C-972E-E517F154EB06}"/>
              </a:ext>
            </a:extLst>
          </xdr:cNvPr>
          <xdr:cNvGrpSpPr/>
        </xdr:nvGrpSpPr>
        <xdr:grpSpPr>
          <a:xfrm>
            <a:off x="1304924" y="1666874"/>
            <a:ext cx="349942" cy="507311"/>
            <a:chOff x="1304924" y="1666874"/>
            <a:chExt cx="349942" cy="507311"/>
          </a:xfrm>
        </xdr:grpSpPr>
        <xdr:cxnSp macro="">
          <xdr:nvCxnSpPr>
            <xdr:cNvPr id="87" name="Straight Connector 86">
              <a:extLst>
                <a:ext uri="{FF2B5EF4-FFF2-40B4-BE49-F238E27FC236}">
                  <a16:creationId xmlns:a16="http://schemas.microsoft.com/office/drawing/2014/main" id="{5A3E0F61-3A31-D592-861B-457EE0A08F05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6E43A4B9-7749-E1C0-3152-0EE5B218C452}"/>
                </a:ext>
              </a:extLst>
            </xdr:cNvPr>
            <xdr:cNvSpPr txBox="1"/>
          </xdr:nvSpPr>
          <xdr:spPr>
            <a:xfrm>
              <a:off x="1304924" y="1666874"/>
              <a:ext cx="349942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8</a:t>
              </a:r>
            </a:p>
          </xdr:txBody>
        </xdr:sp>
      </xdr:grpSp>
    </xdr:grpSp>
    <xdr:clientData/>
  </xdr:twoCellAnchor>
  <xdr:twoCellAnchor>
    <xdr:from>
      <xdr:col>22</xdr:col>
      <xdr:colOff>125514</xdr:colOff>
      <xdr:row>19</xdr:row>
      <xdr:rowOff>106364</xdr:rowOff>
    </xdr:from>
    <xdr:to>
      <xdr:col>22</xdr:col>
      <xdr:colOff>450056</xdr:colOff>
      <xdr:row>22</xdr:row>
      <xdr:rowOff>59532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CC933248-3E32-4CE8-A18D-577DFC7FB879}"/>
            </a:ext>
          </a:extLst>
        </xdr:cNvPr>
        <xdr:cNvGrpSpPr/>
      </xdr:nvGrpSpPr>
      <xdr:grpSpPr>
        <a:xfrm>
          <a:off x="14264847" y="3817586"/>
          <a:ext cx="324542" cy="503502"/>
          <a:chOff x="1304924" y="1639958"/>
          <a:chExt cx="324542" cy="534227"/>
        </a:xfrm>
      </xdr:grpSpPr>
      <xdr:sp macro="" textlink="">
        <xdr:nvSpPr>
          <xdr:cNvPr id="90" name="Hexagon 89">
            <a:extLst>
              <a:ext uri="{FF2B5EF4-FFF2-40B4-BE49-F238E27FC236}">
                <a16:creationId xmlns:a16="http://schemas.microsoft.com/office/drawing/2014/main" id="{6988748E-060A-E33A-47CF-32D544A24809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91" name="Group 90">
            <a:extLst>
              <a:ext uri="{FF2B5EF4-FFF2-40B4-BE49-F238E27FC236}">
                <a16:creationId xmlns:a16="http://schemas.microsoft.com/office/drawing/2014/main" id="{15487D49-49C8-CAE1-AC0D-8946C5C63779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92" name="Straight Connector 91">
              <a:extLst>
                <a:ext uri="{FF2B5EF4-FFF2-40B4-BE49-F238E27FC236}">
                  <a16:creationId xmlns:a16="http://schemas.microsoft.com/office/drawing/2014/main" id="{129F0054-454A-F4AE-F484-91968E962EB5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7F6ED221-35D1-695A-25A1-9650B1D3CC21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16</a:t>
              </a:r>
            </a:p>
          </xdr:txBody>
        </xdr:sp>
      </xdr:grpSp>
    </xdr:grpSp>
    <xdr:clientData/>
  </xdr:twoCellAnchor>
  <xdr:twoCellAnchor>
    <xdr:from>
      <xdr:col>26</xdr:col>
      <xdr:colOff>395562</xdr:colOff>
      <xdr:row>12</xdr:row>
      <xdr:rowOff>11905</xdr:rowOff>
    </xdr:from>
    <xdr:to>
      <xdr:col>27</xdr:col>
      <xdr:colOff>45250</xdr:colOff>
      <xdr:row>15</xdr:row>
      <xdr:rowOff>1303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40782C7A-99A0-410F-9D0C-BE59433F27FA}"/>
            </a:ext>
          </a:extLst>
        </xdr:cNvPr>
        <xdr:cNvGrpSpPr/>
      </xdr:nvGrpSpPr>
      <xdr:grpSpPr>
        <a:xfrm>
          <a:off x="16962006" y="2439016"/>
          <a:ext cx="256466" cy="539731"/>
          <a:chOff x="1327841" y="1639958"/>
          <a:chExt cx="389151" cy="534227"/>
        </a:xfrm>
      </xdr:grpSpPr>
      <xdr:sp macro="" textlink="">
        <xdr:nvSpPr>
          <xdr:cNvPr id="95" name="Hexagon 94">
            <a:extLst>
              <a:ext uri="{FF2B5EF4-FFF2-40B4-BE49-F238E27FC236}">
                <a16:creationId xmlns:a16="http://schemas.microsoft.com/office/drawing/2014/main" id="{EA64ED85-79E8-6F1A-F540-8449EB693DCC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96" name="Group 95">
            <a:extLst>
              <a:ext uri="{FF2B5EF4-FFF2-40B4-BE49-F238E27FC236}">
                <a16:creationId xmlns:a16="http://schemas.microsoft.com/office/drawing/2014/main" id="{F08D4CE5-B8D7-A748-2E4E-15968D9FF257}"/>
              </a:ext>
            </a:extLst>
          </xdr:cNvPr>
          <xdr:cNvGrpSpPr/>
        </xdr:nvGrpSpPr>
        <xdr:grpSpPr>
          <a:xfrm>
            <a:off x="1330682" y="1660212"/>
            <a:ext cx="386310" cy="513973"/>
            <a:chOff x="1330682" y="1660212"/>
            <a:chExt cx="386310" cy="513973"/>
          </a:xfrm>
        </xdr:grpSpPr>
        <xdr:cxnSp macro="">
          <xdr:nvCxnSpPr>
            <xdr:cNvPr id="97" name="Straight Connector 96">
              <a:extLst>
                <a:ext uri="{FF2B5EF4-FFF2-40B4-BE49-F238E27FC236}">
                  <a16:creationId xmlns:a16="http://schemas.microsoft.com/office/drawing/2014/main" id="{B3D941BD-CF41-0990-C0CC-FDEA7B9B9C19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97103190-7996-26B5-2F9A-1DD96E4EA45C}"/>
                </a:ext>
              </a:extLst>
            </xdr:cNvPr>
            <xdr:cNvSpPr txBox="1"/>
          </xdr:nvSpPr>
          <xdr:spPr>
            <a:xfrm>
              <a:off x="1330682" y="1660212"/>
              <a:ext cx="386310" cy="2384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9</a:t>
              </a:r>
            </a:p>
          </xdr:txBody>
        </xdr:sp>
      </xdr:grpSp>
    </xdr:grpSp>
    <xdr:clientData/>
  </xdr:twoCellAnchor>
  <xdr:twoCellAnchor>
    <xdr:from>
      <xdr:col>26</xdr:col>
      <xdr:colOff>365053</xdr:colOff>
      <xdr:row>16</xdr:row>
      <xdr:rowOff>114299</xdr:rowOff>
    </xdr:from>
    <xdr:to>
      <xdr:col>26</xdr:col>
      <xdr:colOff>638972</xdr:colOff>
      <xdr:row>19</xdr:row>
      <xdr:rowOff>77026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C6265F36-CF72-4A4F-BE26-8162F7324AD9}"/>
            </a:ext>
          </a:extLst>
        </xdr:cNvPr>
        <xdr:cNvGrpSpPr/>
      </xdr:nvGrpSpPr>
      <xdr:grpSpPr>
        <a:xfrm>
          <a:off x="16931497" y="3275188"/>
          <a:ext cx="242169" cy="513060"/>
          <a:chOff x="1314117" y="1639958"/>
          <a:chExt cx="350980" cy="534227"/>
        </a:xfrm>
      </xdr:grpSpPr>
      <xdr:sp macro="" textlink="">
        <xdr:nvSpPr>
          <xdr:cNvPr id="100" name="Hexagon 99">
            <a:extLst>
              <a:ext uri="{FF2B5EF4-FFF2-40B4-BE49-F238E27FC236}">
                <a16:creationId xmlns:a16="http://schemas.microsoft.com/office/drawing/2014/main" id="{03117F42-45C0-B97E-A41B-D5A6360F2E96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01" name="Group 100">
            <a:extLst>
              <a:ext uri="{FF2B5EF4-FFF2-40B4-BE49-F238E27FC236}">
                <a16:creationId xmlns:a16="http://schemas.microsoft.com/office/drawing/2014/main" id="{C45410C7-5F82-B1FA-08F7-D2B0976FC605}"/>
              </a:ext>
            </a:extLst>
          </xdr:cNvPr>
          <xdr:cNvGrpSpPr/>
        </xdr:nvGrpSpPr>
        <xdr:grpSpPr>
          <a:xfrm>
            <a:off x="1314117" y="1666874"/>
            <a:ext cx="350980" cy="507311"/>
            <a:chOff x="1314117" y="1666874"/>
            <a:chExt cx="350980" cy="507311"/>
          </a:xfrm>
        </xdr:grpSpPr>
        <xdr:cxnSp macro="">
          <xdr:nvCxnSpPr>
            <xdr:cNvPr id="102" name="Straight Connector 101">
              <a:extLst>
                <a:ext uri="{FF2B5EF4-FFF2-40B4-BE49-F238E27FC236}">
                  <a16:creationId xmlns:a16="http://schemas.microsoft.com/office/drawing/2014/main" id="{ECBAAFE2-C8C5-519D-F717-0EF195B28759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F18F1B9-91BC-80E9-FA8B-562311085B55}"/>
                </a:ext>
              </a:extLst>
            </xdr:cNvPr>
            <xdr:cNvSpPr txBox="1"/>
          </xdr:nvSpPr>
          <xdr:spPr>
            <a:xfrm>
              <a:off x="1314117" y="1666874"/>
              <a:ext cx="350980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10</a:t>
              </a:r>
            </a:p>
          </xdr:txBody>
        </xdr:sp>
      </xdr:grpSp>
    </xdr:grpSp>
    <xdr:clientData/>
  </xdr:twoCellAnchor>
  <xdr:twoCellAnchor>
    <xdr:from>
      <xdr:col>30</xdr:col>
      <xdr:colOff>232670</xdr:colOff>
      <xdr:row>24</xdr:row>
      <xdr:rowOff>8731</xdr:rowOff>
    </xdr:from>
    <xdr:to>
      <xdr:col>30</xdr:col>
      <xdr:colOff>566737</xdr:colOff>
      <xdr:row>26</xdr:row>
      <xdr:rowOff>161958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D633421E-8AAF-448F-8CBC-1DCACD769464}"/>
            </a:ext>
          </a:extLst>
        </xdr:cNvPr>
        <xdr:cNvGrpSpPr/>
      </xdr:nvGrpSpPr>
      <xdr:grpSpPr>
        <a:xfrm>
          <a:off x="19226226" y="4637175"/>
          <a:ext cx="334067" cy="520116"/>
          <a:chOff x="1314449" y="1639958"/>
          <a:chExt cx="334067" cy="534227"/>
        </a:xfrm>
      </xdr:grpSpPr>
      <xdr:sp macro="" textlink="">
        <xdr:nvSpPr>
          <xdr:cNvPr id="105" name="Hexagon 104">
            <a:extLst>
              <a:ext uri="{FF2B5EF4-FFF2-40B4-BE49-F238E27FC236}">
                <a16:creationId xmlns:a16="http://schemas.microsoft.com/office/drawing/2014/main" id="{C4618ED4-4B52-F24F-0327-2A0B96CEBC46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06" name="Group 105">
            <a:extLst>
              <a:ext uri="{FF2B5EF4-FFF2-40B4-BE49-F238E27FC236}">
                <a16:creationId xmlns:a16="http://schemas.microsoft.com/office/drawing/2014/main" id="{A1C34090-C8CF-4D8C-0DE1-8B3D0BFD1E5E}"/>
              </a:ext>
            </a:extLst>
          </xdr:cNvPr>
          <xdr:cNvGrpSpPr/>
        </xdr:nvGrpSpPr>
        <xdr:grpSpPr>
          <a:xfrm>
            <a:off x="1314449" y="1666874"/>
            <a:ext cx="334067" cy="507311"/>
            <a:chOff x="1314449" y="1666874"/>
            <a:chExt cx="334067" cy="507311"/>
          </a:xfrm>
        </xdr:grpSpPr>
        <xdr:cxnSp macro="">
          <xdr:nvCxnSpPr>
            <xdr:cNvPr id="107" name="Straight Connector 106">
              <a:extLst>
                <a:ext uri="{FF2B5EF4-FFF2-40B4-BE49-F238E27FC236}">
                  <a16:creationId xmlns:a16="http://schemas.microsoft.com/office/drawing/2014/main" id="{D89DE261-20C9-DB66-494C-C28B5FEDA00F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E2AD8C95-A06C-4B13-4880-6E8F2F0EE8F9}"/>
                </a:ext>
              </a:extLst>
            </xdr:cNvPr>
            <xdr:cNvSpPr txBox="1"/>
          </xdr:nvSpPr>
          <xdr:spPr>
            <a:xfrm>
              <a:off x="1314449" y="1666874"/>
              <a:ext cx="334067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14</a:t>
              </a:r>
            </a:p>
          </xdr:txBody>
        </xdr:sp>
      </xdr:grpSp>
    </xdr:grpSp>
    <xdr:clientData/>
  </xdr:twoCellAnchor>
  <xdr:twoCellAnchor>
    <xdr:from>
      <xdr:col>32</xdr:col>
      <xdr:colOff>261937</xdr:colOff>
      <xdr:row>20</xdr:row>
      <xdr:rowOff>23813</xdr:rowOff>
    </xdr:from>
    <xdr:to>
      <xdr:col>33</xdr:col>
      <xdr:colOff>0</xdr:colOff>
      <xdr:row>23</xdr:row>
      <xdr:rowOff>18291</xdr:rowOff>
    </xdr:to>
    <xdr:grpSp>
      <xdr:nvGrpSpPr>
        <xdr:cNvPr id="109" name="Group 108">
          <a:extLst>
            <a:ext uri="{FF2B5EF4-FFF2-40B4-BE49-F238E27FC236}">
              <a16:creationId xmlns:a16="http://schemas.microsoft.com/office/drawing/2014/main" id="{E4039A04-5DB0-4A9C-847F-89F8FC72F891}"/>
            </a:ext>
          </a:extLst>
        </xdr:cNvPr>
        <xdr:cNvGrpSpPr/>
      </xdr:nvGrpSpPr>
      <xdr:grpSpPr>
        <a:xfrm>
          <a:off x="20469048" y="3918480"/>
          <a:ext cx="344841" cy="544811"/>
          <a:chOff x="1318316" y="1639958"/>
          <a:chExt cx="400050" cy="534227"/>
        </a:xfrm>
      </xdr:grpSpPr>
      <xdr:sp macro="" textlink="">
        <xdr:nvSpPr>
          <xdr:cNvPr id="110" name="Hexagon 109">
            <a:extLst>
              <a:ext uri="{FF2B5EF4-FFF2-40B4-BE49-F238E27FC236}">
                <a16:creationId xmlns:a16="http://schemas.microsoft.com/office/drawing/2014/main" id="{66E64516-1091-7883-DFDF-D806F820F622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11" name="Group 110">
            <a:extLst>
              <a:ext uri="{FF2B5EF4-FFF2-40B4-BE49-F238E27FC236}">
                <a16:creationId xmlns:a16="http://schemas.microsoft.com/office/drawing/2014/main" id="{0B92A9CB-4155-F4B9-9E33-6D1A92057355}"/>
              </a:ext>
            </a:extLst>
          </xdr:cNvPr>
          <xdr:cNvGrpSpPr/>
        </xdr:nvGrpSpPr>
        <xdr:grpSpPr>
          <a:xfrm>
            <a:off x="1318316" y="1680450"/>
            <a:ext cx="400050" cy="493735"/>
            <a:chOff x="1318316" y="1680450"/>
            <a:chExt cx="400050" cy="493735"/>
          </a:xfrm>
        </xdr:grpSpPr>
        <xdr:cxnSp macro="">
          <xdr:nvCxnSpPr>
            <xdr:cNvPr id="112" name="Straight Connector 111">
              <a:extLst>
                <a:ext uri="{FF2B5EF4-FFF2-40B4-BE49-F238E27FC236}">
                  <a16:creationId xmlns:a16="http://schemas.microsoft.com/office/drawing/2014/main" id="{FA761830-38B2-031E-FE0B-A5FAE045F5F9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215F29FA-B19E-E3E5-C8EF-6E003553931C}"/>
                </a:ext>
              </a:extLst>
            </xdr:cNvPr>
            <xdr:cNvSpPr txBox="1"/>
          </xdr:nvSpPr>
          <xdr:spPr>
            <a:xfrm>
              <a:off x="1318316" y="1680450"/>
              <a:ext cx="400050" cy="2082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15</a:t>
              </a:r>
            </a:p>
          </xdr:txBody>
        </xdr:sp>
      </xdr:grpSp>
    </xdr:grpSp>
    <xdr:clientData/>
  </xdr:twoCellAnchor>
  <xdr:twoCellAnchor>
    <xdr:from>
      <xdr:col>33</xdr:col>
      <xdr:colOff>91383</xdr:colOff>
      <xdr:row>14</xdr:row>
      <xdr:rowOff>69850</xdr:rowOff>
    </xdr:from>
    <xdr:to>
      <xdr:col>33</xdr:col>
      <xdr:colOff>419100</xdr:colOff>
      <xdr:row>17</xdr:row>
      <xdr:rowOff>827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87FC1ECF-AF46-416F-9F0F-BA0784B91499}"/>
            </a:ext>
          </a:extLst>
        </xdr:cNvPr>
        <xdr:cNvGrpSpPr/>
      </xdr:nvGrpSpPr>
      <xdr:grpSpPr>
        <a:xfrm>
          <a:off x="20905272" y="2863850"/>
          <a:ext cx="327717" cy="481310"/>
          <a:chOff x="1323974" y="1639958"/>
          <a:chExt cx="327717" cy="534227"/>
        </a:xfrm>
      </xdr:grpSpPr>
      <xdr:sp macro="" textlink="">
        <xdr:nvSpPr>
          <xdr:cNvPr id="115" name="Hexagon 114">
            <a:extLst>
              <a:ext uri="{FF2B5EF4-FFF2-40B4-BE49-F238E27FC236}">
                <a16:creationId xmlns:a16="http://schemas.microsoft.com/office/drawing/2014/main" id="{F146CAB3-66B1-AF28-EFF9-163C2E29C5CA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16" name="Group 115">
            <a:extLst>
              <a:ext uri="{FF2B5EF4-FFF2-40B4-BE49-F238E27FC236}">
                <a16:creationId xmlns:a16="http://schemas.microsoft.com/office/drawing/2014/main" id="{A2119C9D-8C08-4683-C6AA-CB75062C3ADF}"/>
              </a:ext>
            </a:extLst>
          </xdr:cNvPr>
          <xdr:cNvGrpSpPr/>
        </xdr:nvGrpSpPr>
        <xdr:grpSpPr>
          <a:xfrm>
            <a:off x="1323974" y="1663587"/>
            <a:ext cx="327717" cy="510598"/>
            <a:chOff x="1323974" y="1663587"/>
            <a:chExt cx="327717" cy="510598"/>
          </a:xfrm>
        </xdr:grpSpPr>
        <xdr:cxnSp macro="">
          <xdr:nvCxnSpPr>
            <xdr:cNvPr id="117" name="Straight Connector 116">
              <a:extLst>
                <a:ext uri="{FF2B5EF4-FFF2-40B4-BE49-F238E27FC236}">
                  <a16:creationId xmlns:a16="http://schemas.microsoft.com/office/drawing/2014/main" id="{EB6FBA4B-7DC5-9B08-BD5A-6720612C5B5F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24540AFF-E332-9B44-080A-0580247B68B8}"/>
                </a:ext>
              </a:extLst>
            </xdr:cNvPr>
            <xdr:cNvSpPr txBox="1"/>
          </xdr:nvSpPr>
          <xdr:spPr>
            <a:xfrm>
              <a:off x="1323974" y="1663587"/>
              <a:ext cx="327717" cy="2249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12</a:t>
              </a:r>
            </a:p>
          </xdr:txBody>
        </xdr:sp>
      </xdr:grpSp>
    </xdr:grpSp>
    <xdr:clientData/>
  </xdr:twoCellAnchor>
  <xdr:twoCellAnchor>
    <xdr:from>
      <xdr:col>27</xdr:col>
      <xdr:colOff>362846</xdr:colOff>
      <xdr:row>24</xdr:row>
      <xdr:rowOff>41275</xdr:rowOff>
    </xdr:from>
    <xdr:to>
      <xdr:col>28</xdr:col>
      <xdr:colOff>111919</xdr:colOff>
      <xdr:row>27</xdr:row>
      <xdr:rowOff>4002</xdr:rowOff>
    </xdr:to>
    <xdr:grpSp>
      <xdr:nvGrpSpPr>
        <xdr:cNvPr id="119" name="Group 118">
          <a:extLst>
            <a:ext uri="{FF2B5EF4-FFF2-40B4-BE49-F238E27FC236}">
              <a16:creationId xmlns:a16="http://schemas.microsoft.com/office/drawing/2014/main" id="{C0608284-0192-4FA8-A41A-639A51D670D9}"/>
            </a:ext>
          </a:extLst>
        </xdr:cNvPr>
        <xdr:cNvGrpSpPr/>
      </xdr:nvGrpSpPr>
      <xdr:grpSpPr>
        <a:xfrm>
          <a:off x="17536068" y="4669719"/>
          <a:ext cx="355851" cy="513061"/>
          <a:chOff x="1323974" y="1639958"/>
          <a:chExt cx="356292" cy="534227"/>
        </a:xfrm>
      </xdr:grpSpPr>
      <xdr:sp macro="" textlink="">
        <xdr:nvSpPr>
          <xdr:cNvPr id="120" name="Hexagon 119">
            <a:extLst>
              <a:ext uri="{FF2B5EF4-FFF2-40B4-BE49-F238E27FC236}">
                <a16:creationId xmlns:a16="http://schemas.microsoft.com/office/drawing/2014/main" id="{085FABAA-5885-7A90-845E-AA2465E4A740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21" name="Group 120">
            <a:extLst>
              <a:ext uri="{FF2B5EF4-FFF2-40B4-BE49-F238E27FC236}">
                <a16:creationId xmlns:a16="http://schemas.microsoft.com/office/drawing/2014/main" id="{B1614FE4-4105-DADA-DA52-3DE403B631B0}"/>
              </a:ext>
            </a:extLst>
          </xdr:cNvPr>
          <xdr:cNvGrpSpPr/>
        </xdr:nvGrpSpPr>
        <xdr:grpSpPr>
          <a:xfrm>
            <a:off x="1323974" y="1657349"/>
            <a:ext cx="356292" cy="516836"/>
            <a:chOff x="1323974" y="1657349"/>
            <a:chExt cx="356292" cy="516836"/>
          </a:xfrm>
        </xdr:grpSpPr>
        <xdr:cxnSp macro="">
          <xdr:nvCxnSpPr>
            <xdr:cNvPr id="122" name="Straight Connector 121">
              <a:extLst>
                <a:ext uri="{FF2B5EF4-FFF2-40B4-BE49-F238E27FC236}">
                  <a16:creationId xmlns:a16="http://schemas.microsoft.com/office/drawing/2014/main" id="{7EB7A81D-00B6-4174-26F0-237E856305C4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A956F7A4-7991-56AC-E2E4-03F9B4C566F0}"/>
                </a:ext>
              </a:extLst>
            </xdr:cNvPr>
            <xdr:cNvSpPr txBox="1"/>
          </xdr:nvSpPr>
          <xdr:spPr>
            <a:xfrm>
              <a:off x="1323974" y="1657349"/>
              <a:ext cx="356292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13</a:t>
              </a:r>
            </a:p>
          </xdr:txBody>
        </xdr:sp>
      </xdr:grpSp>
    </xdr:grpSp>
    <xdr:clientData/>
  </xdr:twoCellAnchor>
  <xdr:twoCellAnchor>
    <xdr:from>
      <xdr:col>27</xdr:col>
      <xdr:colOff>158057</xdr:colOff>
      <xdr:row>14</xdr:row>
      <xdr:rowOff>89694</xdr:rowOff>
    </xdr:from>
    <xdr:to>
      <xdr:col>27</xdr:col>
      <xdr:colOff>546099</xdr:colOff>
      <xdr:row>17</xdr:row>
      <xdr:rowOff>20671</xdr:rowOff>
    </xdr:to>
    <xdr:grpSp>
      <xdr:nvGrpSpPr>
        <xdr:cNvPr id="124" name="Group 123">
          <a:extLst>
            <a:ext uri="{FF2B5EF4-FFF2-40B4-BE49-F238E27FC236}">
              <a16:creationId xmlns:a16="http://schemas.microsoft.com/office/drawing/2014/main" id="{43D0A305-CDD5-4DDF-AD25-6804F2556AF0}"/>
            </a:ext>
          </a:extLst>
        </xdr:cNvPr>
        <xdr:cNvGrpSpPr/>
      </xdr:nvGrpSpPr>
      <xdr:grpSpPr>
        <a:xfrm>
          <a:off x="17331279" y="2883694"/>
          <a:ext cx="388042" cy="481310"/>
          <a:chOff x="1295399" y="1639958"/>
          <a:chExt cx="391876" cy="534227"/>
        </a:xfrm>
      </xdr:grpSpPr>
      <xdr:sp macro="" textlink="">
        <xdr:nvSpPr>
          <xdr:cNvPr id="125" name="Hexagon 124">
            <a:extLst>
              <a:ext uri="{FF2B5EF4-FFF2-40B4-BE49-F238E27FC236}">
                <a16:creationId xmlns:a16="http://schemas.microsoft.com/office/drawing/2014/main" id="{4C8E2084-FD19-F63C-C3CD-360FDCD0A3E9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26" name="Group 125">
            <a:extLst>
              <a:ext uri="{FF2B5EF4-FFF2-40B4-BE49-F238E27FC236}">
                <a16:creationId xmlns:a16="http://schemas.microsoft.com/office/drawing/2014/main" id="{AA921683-CF89-F7B5-8673-9BDC91EFF9B7}"/>
              </a:ext>
            </a:extLst>
          </xdr:cNvPr>
          <xdr:cNvGrpSpPr/>
        </xdr:nvGrpSpPr>
        <xdr:grpSpPr>
          <a:xfrm>
            <a:off x="1295399" y="1663589"/>
            <a:ext cx="391876" cy="510596"/>
            <a:chOff x="1295399" y="1663589"/>
            <a:chExt cx="391876" cy="510596"/>
          </a:xfrm>
        </xdr:grpSpPr>
        <xdr:cxnSp macro="">
          <xdr:nvCxnSpPr>
            <xdr:cNvPr id="127" name="Straight Connector 126">
              <a:extLst>
                <a:ext uri="{FF2B5EF4-FFF2-40B4-BE49-F238E27FC236}">
                  <a16:creationId xmlns:a16="http://schemas.microsoft.com/office/drawing/2014/main" id="{9ADB3E6B-7606-C59A-4EAC-7376490A4A03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680E75A1-2695-624E-411B-B4ADF17464F2}"/>
                </a:ext>
              </a:extLst>
            </xdr:cNvPr>
            <xdr:cNvSpPr txBox="1"/>
          </xdr:nvSpPr>
          <xdr:spPr>
            <a:xfrm>
              <a:off x="1295399" y="1663589"/>
              <a:ext cx="391876" cy="23291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11</a:t>
              </a:r>
            </a:p>
          </xdr:txBody>
        </xdr:sp>
      </xdr:grpSp>
    </xdr:grpSp>
    <xdr:clientData/>
  </xdr:twoCellAnchor>
  <xdr:twoCellAnchor>
    <xdr:from>
      <xdr:col>15</xdr:col>
      <xdr:colOff>380308</xdr:colOff>
      <xdr:row>22</xdr:row>
      <xdr:rowOff>178593</xdr:rowOff>
    </xdr:from>
    <xdr:to>
      <xdr:col>16</xdr:col>
      <xdr:colOff>1270</xdr:colOff>
      <xdr:row>25</xdr:row>
      <xdr:rowOff>129414</xdr:rowOff>
    </xdr:to>
    <xdr:grpSp>
      <xdr:nvGrpSpPr>
        <xdr:cNvPr id="129" name="Group 128">
          <a:extLst>
            <a:ext uri="{FF2B5EF4-FFF2-40B4-BE49-F238E27FC236}">
              <a16:creationId xmlns:a16="http://schemas.microsoft.com/office/drawing/2014/main" id="{CC21A66E-2E52-42BA-B906-1B8488653757}"/>
            </a:ext>
          </a:extLst>
        </xdr:cNvPr>
        <xdr:cNvGrpSpPr/>
      </xdr:nvGrpSpPr>
      <xdr:grpSpPr>
        <a:xfrm>
          <a:off x="10272197" y="4440149"/>
          <a:ext cx="227740" cy="501154"/>
          <a:chOff x="1304924" y="1639958"/>
          <a:chExt cx="375342" cy="534227"/>
        </a:xfrm>
      </xdr:grpSpPr>
      <xdr:sp macro="" textlink="">
        <xdr:nvSpPr>
          <xdr:cNvPr id="130" name="Hexagon 129">
            <a:extLst>
              <a:ext uri="{FF2B5EF4-FFF2-40B4-BE49-F238E27FC236}">
                <a16:creationId xmlns:a16="http://schemas.microsoft.com/office/drawing/2014/main" id="{347B9D50-BCBD-A862-F4C2-FBECC3C694BE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31" name="Group 130">
            <a:extLst>
              <a:ext uri="{FF2B5EF4-FFF2-40B4-BE49-F238E27FC236}">
                <a16:creationId xmlns:a16="http://schemas.microsoft.com/office/drawing/2014/main" id="{B0C4CD2E-6D78-C766-4C1C-1065806A150D}"/>
              </a:ext>
            </a:extLst>
          </xdr:cNvPr>
          <xdr:cNvGrpSpPr/>
        </xdr:nvGrpSpPr>
        <xdr:grpSpPr>
          <a:xfrm>
            <a:off x="1304924" y="1647163"/>
            <a:ext cx="375342" cy="527022"/>
            <a:chOff x="1304924" y="1647163"/>
            <a:chExt cx="375342" cy="527022"/>
          </a:xfrm>
        </xdr:grpSpPr>
        <xdr:cxnSp macro="">
          <xdr:nvCxnSpPr>
            <xdr:cNvPr id="132" name="Straight Connector 131">
              <a:extLst>
                <a:ext uri="{FF2B5EF4-FFF2-40B4-BE49-F238E27FC236}">
                  <a16:creationId xmlns:a16="http://schemas.microsoft.com/office/drawing/2014/main" id="{13AC8CEE-6C28-2E90-73A1-71C1CEF37DFA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E5883A90-CB5A-C275-CCFB-2E87DEAFBC7F}"/>
                </a:ext>
              </a:extLst>
            </xdr:cNvPr>
            <xdr:cNvSpPr txBox="1"/>
          </xdr:nvSpPr>
          <xdr:spPr>
            <a:xfrm>
              <a:off x="1304924" y="1647163"/>
              <a:ext cx="375342" cy="219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29</a:t>
              </a:r>
            </a:p>
          </xdr:txBody>
        </xdr:sp>
      </xdr:grpSp>
    </xdr:grpSp>
    <xdr:clientData/>
  </xdr:twoCellAnchor>
  <xdr:twoCellAnchor>
    <xdr:from>
      <xdr:col>2</xdr:col>
      <xdr:colOff>289015</xdr:colOff>
      <xdr:row>7</xdr:row>
      <xdr:rowOff>179070</xdr:rowOff>
    </xdr:from>
    <xdr:to>
      <xdr:col>3</xdr:col>
      <xdr:colOff>37629</xdr:colOff>
      <xdr:row>10</xdr:row>
      <xdr:rowOff>78297</xdr:rowOff>
    </xdr:to>
    <xdr:grpSp>
      <xdr:nvGrpSpPr>
        <xdr:cNvPr id="134" name="Group 133">
          <a:extLst>
            <a:ext uri="{FF2B5EF4-FFF2-40B4-BE49-F238E27FC236}">
              <a16:creationId xmlns:a16="http://schemas.microsoft.com/office/drawing/2014/main" id="{E3C6A7B9-3B46-4AA6-86FE-620455882687}"/>
            </a:ext>
          </a:extLst>
        </xdr:cNvPr>
        <xdr:cNvGrpSpPr/>
      </xdr:nvGrpSpPr>
      <xdr:grpSpPr>
        <a:xfrm>
          <a:off x="2095237" y="1688959"/>
          <a:ext cx="355392" cy="449560"/>
          <a:chOff x="1304481" y="1639958"/>
          <a:chExt cx="334919" cy="534227"/>
        </a:xfrm>
      </xdr:grpSpPr>
      <xdr:sp macro="" textlink="">
        <xdr:nvSpPr>
          <xdr:cNvPr id="135" name="Hexagon 134">
            <a:extLst>
              <a:ext uri="{FF2B5EF4-FFF2-40B4-BE49-F238E27FC236}">
                <a16:creationId xmlns:a16="http://schemas.microsoft.com/office/drawing/2014/main" id="{A9392DAC-FA83-07E7-4B3A-3826B7EA9F5F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36" name="Group 135">
            <a:extLst>
              <a:ext uri="{FF2B5EF4-FFF2-40B4-BE49-F238E27FC236}">
                <a16:creationId xmlns:a16="http://schemas.microsoft.com/office/drawing/2014/main" id="{CE9C4E72-524B-75BA-A009-7F46A627A45F}"/>
              </a:ext>
            </a:extLst>
          </xdr:cNvPr>
          <xdr:cNvGrpSpPr/>
        </xdr:nvGrpSpPr>
        <xdr:grpSpPr>
          <a:xfrm>
            <a:off x="1304481" y="1639958"/>
            <a:ext cx="334919" cy="534227"/>
            <a:chOff x="1304481" y="1639958"/>
            <a:chExt cx="334919" cy="534227"/>
          </a:xfrm>
        </xdr:grpSpPr>
        <xdr:cxnSp macro="">
          <xdr:nvCxnSpPr>
            <xdr:cNvPr id="137" name="Straight Connector 136">
              <a:extLst>
                <a:ext uri="{FF2B5EF4-FFF2-40B4-BE49-F238E27FC236}">
                  <a16:creationId xmlns:a16="http://schemas.microsoft.com/office/drawing/2014/main" id="{E751037E-1BF7-E8B1-42D0-CC51EAC24E07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D4D20E24-E85C-F391-D71F-361025952417}"/>
                </a:ext>
              </a:extLst>
            </xdr:cNvPr>
            <xdr:cNvSpPr txBox="1"/>
          </xdr:nvSpPr>
          <xdr:spPr>
            <a:xfrm>
              <a:off x="1304481" y="1639958"/>
              <a:ext cx="334919" cy="247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28</a:t>
              </a:r>
            </a:p>
          </xdr:txBody>
        </xdr:sp>
      </xdr:grpSp>
    </xdr:grpSp>
    <xdr:clientData/>
  </xdr:twoCellAnchor>
  <xdr:twoCellAnchor>
    <xdr:from>
      <xdr:col>3</xdr:col>
      <xdr:colOff>383383</xdr:colOff>
      <xdr:row>14</xdr:row>
      <xdr:rowOff>66675</xdr:rowOff>
    </xdr:from>
    <xdr:to>
      <xdr:col>3</xdr:col>
      <xdr:colOff>639606</xdr:colOff>
      <xdr:row>17</xdr:row>
      <xdr:rowOff>1462</xdr:rowOff>
    </xdr:to>
    <xdr:grpSp>
      <xdr:nvGrpSpPr>
        <xdr:cNvPr id="139" name="Group 138">
          <a:extLst>
            <a:ext uri="{FF2B5EF4-FFF2-40B4-BE49-F238E27FC236}">
              <a16:creationId xmlns:a16="http://schemas.microsoft.com/office/drawing/2014/main" id="{DD163E7E-A22D-4501-BF35-A74B025F6FC2}"/>
            </a:ext>
          </a:extLst>
        </xdr:cNvPr>
        <xdr:cNvGrpSpPr/>
      </xdr:nvGrpSpPr>
      <xdr:grpSpPr>
        <a:xfrm>
          <a:off x="2796383" y="2860675"/>
          <a:ext cx="256223" cy="485120"/>
          <a:chOff x="1327841" y="1639958"/>
          <a:chExt cx="276087" cy="534227"/>
        </a:xfrm>
      </xdr:grpSpPr>
      <xdr:sp macro="" textlink="">
        <xdr:nvSpPr>
          <xdr:cNvPr id="140" name="Hexagon 139">
            <a:extLst>
              <a:ext uri="{FF2B5EF4-FFF2-40B4-BE49-F238E27FC236}">
                <a16:creationId xmlns:a16="http://schemas.microsoft.com/office/drawing/2014/main" id="{BA7C26CC-3950-45CD-8178-7DE7C74D21A6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41" name="Group 140">
            <a:extLst>
              <a:ext uri="{FF2B5EF4-FFF2-40B4-BE49-F238E27FC236}">
                <a16:creationId xmlns:a16="http://schemas.microsoft.com/office/drawing/2014/main" id="{6C667179-8374-A886-B1E5-4F5D11AB2F5A}"/>
              </a:ext>
            </a:extLst>
          </xdr:cNvPr>
          <xdr:cNvGrpSpPr/>
        </xdr:nvGrpSpPr>
        <xdr:grpSpPr>
          <a:xfrm>
            <a:off x="1343024" y="1657349"/>
            <a:ext cx="257175" cy="516836"/>
            <a:chOff x="1343024" y="1657349"/>
            <a:chExt cx="257175" cy="516836"/>
          </a:xfrm>
        </xdr:grpSpPr>
        <xdr:cxnSp macro="">
          <xdr:nvCxnSpPr>
            <xdr:cNvPr id="142" name="Straight Connector 141">
              <a:extLst>
                <a:ext uri="{FF2B5EF4-FFF2-40B4-BE49-F238E27FC236}">
                  <a16:creationId xmlns:a16="http://schemas.microsoft.com/office/drawing/2014/main" id="{72698360-F9D5-C062-A70A-CACE930B70C4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A6AA6D26-CD1A-7D8A-01AC-14120B49DB0C}"/>
                </a:ext>
              </a:extLst>
            </xdr:cNvPr>
            <xdr:cNvSpPr txBox="1"/>
          </xdr:nvSpPr>
          <xdr:spPr>
            <a:xfrm>
              <a:off x="1343024" y="1657349"/>
              <a:ext cx="257175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</a:t>
              </a:r>
            </a:p>
          </xdr:txBody>
        </xdr:sp>
      </xdr:grpSp>
    </xdr:grpSp>
    <xdr:clientData/>
  </xdr:twoCellAnchor>
  <xdr:twoCellAnchor>
    <xdr:from>
      <xdr:col>3</xdr:col>
      <xdr:colOff>238125</xdr:colOff>
      <xdr:row>17</xdr:row>
      <xdr:rowOff>2</xdr:rowOff>
    </xdr:from>
    <xdr:to>
      <xdr:col>16</xdr:col>
      <xdr:colOff>7145</xdr:colOff>
      <xdr:row>17</xdr:row>
      <xdr:rowOff>2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C3B62054-E557-4ED2-8ED0-227C754794AC}"/>
            </a:ext>
          </a:extLst>
        </xdr:cNvPr>
        <xdr:cNvCxnSpPr/>
      </xdr:nvCxnSpPr>
      <xdr:spPr>
        <a:xfrm>
          <a:off x="3446145" y="3333752"/>
          <a:ext cx="1047893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383382</xdr:colOff>
      <xdr:row>10</xdr:row>
      <xdr:rowOff>0</xdr:rowOff>
    </xdr:from>
    <xdr:to>
      <xdr:col>19</xdr:col>
      <xdr:colOff>383382</xdr:colOff>
      <xdr:row>12</xdr:row>
      <xdr:rowOff>11906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CF26A165-CE57-40C8-BC76-16F8E8FEC71F}"/>
            </a:ext>
          </a:extLst>
        </xdr:cNvPr>
        <xdr:cNvCxnSpPr/>
      </xdr:nvCxnSpPr>
      <xdr:spPr>
        <a:xfrm>
          <a:off x="16408242" y="2053590"/>
          <a:ext cx="0" cy="377666"/>
        </a:xfrm>
        <a:prstGeom prst="line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12700</xdr:colOff>
      <xdr:row>14</xdr:row>
      <xdr:rowOff>177800</xdr:rowOff>
    </xdr:from>
    <xdr:to>
      <xdr:col>27</xdr:col>
      <xdr:colOff>12700</xdr:colOff>
      <xdr:row>19</xdr:row>
      <xdr:rowOff>83343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D5291BFF-94A5-4ABE-83C6-AB63F630104C}"/>
            </a:ext>
          </a:extLst>
        </xdr:cNvPr>
        <xdr:cNvCxnSpPr/>
      </xdr:nvCxnSpPr>
      <xdr:spPr>
        <a:xfrm>
          <a:off x="22647910" y="2962910"/>
          <a:ext cx="0" cy="81994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12700</xdr:colOff>
      <xdr:row>17</xdr:row>
      <xdr:rowOff>25400</xdr:rowOff>
    </xdr:from>
    <xdr:to>
      <xdr:col>29</xdr:col>
      <xdr:colOff>0</xdr:colOff>
      <xdr:row>17</xdr:row>
      <xdr:rowOff>25400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DF740BD8-F219-45A5-AB1F-0AB0B0F172F5}"/>
            </a:ext>
          </a:extLst>
        </xdr:cNvPr>
        <xdr:cNvCxnSpPr/>
      </xdr:nvCxnSpPr>
      <xdr:spPr>
        <a:xfrm>
          <a:off x="22647910" y="3359150"/>
          <a:ext cx="1785620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7256</xdr:colOff>
      <xdr:row>4</xdr:row>
      <xdr:rowOff>0</xdr:rowOff>
    </xdr:from>
    <xdr:to>
      <xdr:col>9</xdr:col>
      <xdr:colOff>358734</xdr:colOff>
      <xdr:row>4</xdr:row>
      <xdr:rowOff>84256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D1EDAAA3-9227-4670-A411-5A8DE87A6293}"/>
            </a:ext>
          </a:extLst>
        </xdr:cNvPr>
        <xdr:cNvSpPr txBox="1"/>
      </xdr:nvSpPr>
      <xdr:spPr>
        <a:xfrm>
          <a:off x="8366396" y="956310"/>
          <a:ext cx="351478" cy="842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15</xdr:col>
      <xdr:colOff>329813</xdr:colOff>
      <xdr:row>6</xdr:row>
      <xdr:rowOff>104774</xdr:rowOff>
    </xdr:from>
    <xdr:to>
      <xdr:col>16</xdr:col>
      <xdr:colOff>1592</xdr:colOff>
      <xdr:row>8</xdr:row>
      <xdr:rowOff>179261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AF8CD9FC-516C-4F60-B6EA-9D59BE8F8D8B}"/>
            </a:ext>
          </a:extLst>
        </xdr:cNvPr>
        <xdr:cNvGrpSpPr/>
      </xdr:nvGrpSpPr>
      <xdr:grpSpPr>
        <a:xfrm>
          <a:off x="10221702" y="1431218"/>
          <a:ext cx="278557" cy="441376"/>
          <a:chOff x="1304481" y="1639958"/>
          <a:chExt cx="334919" cy="534227"/>
        </a:xfrm>
      </xdr:grpSpPr>
      <xdr:sp macro="" textlink="">
        <xdr:nvSpPr>
          <xdr:cNvPr id="150" name="Hexagon 149">
            <a:extLst>
              <a:ext uri="{FF2B5EF4-FFF2-40B4-BE49-F238E27FC236}">
                <a16:creationId xmlns:a16="http://schemas.microsoft.com/office/drawing/2014/main" id="{0EA65ADE-9D9D-690F-EB85-05E7C322B0F1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51" name="Group 150">
            <a:extLst>
              <a:ext uri="{FF2B5EF4-FFF2-40B4-BE49-F238E27FC236}">
                <a16:creationId xmlns:a16="http://schemas.microsoft.com/office/drawing/2014/main" id="{70BAF375-B4BB-1644-3B39-ACD7341142FE}"/>
              </a:ext>
            </a:extLst>
          </xdr:cNvPr>
          <xdr:cNvGrpSpPr/>
        </xdr:nvGrpSpPr>
        <xdr:grpSpPr>
          <a:xfrm>
            <a:off x="1304481" y="1639958"/>
            <a:ext cx="334919" cy="534227"/>
            <a:chOff x="1304481" y="1639958"/>
            <a:chExt cx="334919" cy="534227"/>
          </a:xfrm>
        </xdr:grpSpPr>
        <xdr:cxnSp macro="">
          <xdr:nvCxnSpPr>
            <xdr:cNvPr id="152" name="Straight Connector 151">
              <a:extLst>
                <a:ext uri="{FF2B5EF4-FFF2-40B4-BE49-F238E27FC236}">
                  <a16:creationId xmlns:a16="http://schemas.microsoft.com/office/drawing/2014/main" id="{DFD73979-DC47-B557-F4B7-EB2D58532990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1E004CC7-D32F-D44D-7DC0-E365213C4F27}"/>
                </a:ext>
              </a:extLst>
            </xdr:cNvPr>
            <xdr:cNvSpPr txBox="1"/>
          </xdr:nvSpPr>
          <xdr:spPr>
            <a:xfrm>
              <a:off x="1304481" y="1639958"/>
              <a:ext cx="334919" cy="247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25</a:t>
              </a:r>
            </a:p>
          </xdr:txBody>
        </xdr:sp>
      </xdr:grpSp>
    </xdr:grpSp>
    <xdr:clientData/>
  </xdr:twoCellAnchor>
  <xdr:twoCellAnchor>
    <xdr:from>
      <xdr:col>30</xdr:col>
      <xdr:colOff>640079</xdr:colOff>
      <xdr:row>6</xdr:row>
      <xdr:rowOff>71438</xdr:rowOff>
    </xdr:from>
    <xdr:to>
      <xdr:col>31</xdr:col>
      <xdr:colOff>197541</xdr:colOff>
      <xdr:row>9</xdr:row>
      <xdr:rowOff>7019</xdr:rowOff>
    </xdr:to>
    <xdr:grpSp>
      <xdr:nvGrpSpPr>
        <xdr:cNvPr id="154" name="Group 153">
          <a:extLst>
            <a:ext uri="{FF2B5EF4-FFF2-40B4-BE49-F238E27FC236}">
              <a16:creationId xmlns:a16="http://schemas.microsoft.com/office/drawing/2014/main" id="{8699E293-AB30-4F5A-B8EC-E02D6DB5D05E}"/>
            </a:ext>
          </a:extLst>
        </xdr:cNvPr>
        <xdr:cNvGrpSpPr/>
      </xdr:nvGrpSpPr>
      <xdr:grpSpPr>
        <a:xfrm>
          <a:off x="19601885" y="1397882"/>
          <a:ext cx="195989" cy="485915"/>
          <a:chOff x="1295399" y="1639958"/>
          <a:chExt cx="353117" cy="534227"/>
        </a:xfrm>
      </xdr:grpSpPr>
      <xdr:sp macro="" textlink="">
        <xdr:nvSpPr>
          <xdr:cNvPr id="155" name="Hexagon 154">
            <a:extLst>
              <a:ext uri="{FF2B5EF4-FFF2-40B4-BE49-F238E27FC236}">
                <a16:creationId xmlns:a16="http://schemas.microsoft.com/office/drawing/2014/main" id="{03F5E389-EAFE-CFC3-E17E-D993622D43E4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56" name="Group 155">
            <a:extLst>
              <a:ext uri="{FF2B5EF4-FFF2-40B4-BE49-F238E27FC236}">
                <a16:creationId xmlns:a16="http://schemas.microsoft.com/office/drawing/2014/main" id="{3D80F15B-155E-5E2D-F5A9-BB12DE4219E1}"/>
              </a:ext>
            </a:extLst>
          </xdr:cNvPr>
          <xdr:cNvGrpSpPr/>
        </xdr:nvGrpSpPr>
        <xdr:grpSpPr>
          <a:xfrm>
            <a:off x="1295399" y="1657349"/>
            <a:ext cx="353117" cy="516836"/>
            <a:chOff x="1295399" y="1657349"/>
            <a:chExt cx="353117" cy="516836"/>
          </a:xfrm>
        </xdr:grpSpPr>
        <xdr:cxnSp macro="">
          <xdr:nvCxnSpPr>
            <xdr:cNvPr id="157" name="Straight Connector 156">
              <a:extLst>
                <a:ext uri="{FF2B5EF4-FFF2-40B4-BE49-F238E27FC236}">
                  <a16:creationId xmlns:a16="http://schemas.microsoft.com/office/drawing/2014/main" id="{E2C33671-D7F5-3C92-B6DF-C532DDC4413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D01EA8DF-87F4-545D-AED5-1467CE98595D}"/>
                </a:ext>
              </a:extLst>
            </xdr:cNvPr>
            <xdr:cNvSpPr txBox="1"/>
          </xdr:nvSpPr>
          <xdr:spPr>
            <a:xfrm>
              <a:off x="1295399" y="1657349"/>
              <a:ext cx="353117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17</a:t>
              </a:r>
            </a:p>
          </xdr:txBody>
        </xdr:sp>
      </xdr:grpSp>
    </xdr:grpSp>
    <xdr:clientData/>
  </xdr:twoCellAnchor>
  <xdr:twoCellAnchor>
    <xdr:from>
      <xdr:col>18</xdr:col>
      <xdr:colOff>523875</xdr:colOff>
      <xdr:row>7</xdr:row>
      <xdr:rowOff>154781</xdr:rowOff>
    </xdr:from>
    <xdr:to>
      <xdr:col>20</xdr:col>
      <xdr:colOff>285751</xdr:colOff>
      <xdr:row>9</xdr:row>
      <xdr:rowOff>178593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7FB65D54-39B1-4C1A-BA91-E10C9A5B6974}"/>
            </a:ext>
          </a:extLst>
        </xdr:cNvPr>
        <xdr:cNvSpPr/>
      </xdr:nvSpPr>
      <xdr:spPr>
        <a:xfrm>
          <a:off x="15866745" y="1659731"/>
          <a:ext cx="1125856" cy="389572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523875</xdr:colOff>
      <xdr:row>7</xdr:row>
      <xdr:rowOff>166687</xdr:rowOff>
    </xdr:from>
    <xdr:to>
      <xdr:col>20</xdr:col>
      <xdr:colOff>285750</xdr:colOff>
      <xdr:row>9</xdr:row>
      <xdr:rowOff>178593</xdr:rowOff>
    </xdr:to>
    <xdr:cxnSp macro="">
      <xdr:nvCxnSpPr>
        <xdr:cNvPr id="160" name="Straight Connector 159">
          <a:extLst>
            <a:ext uri="{FF2B5EF4-FFF2-40B4-BE49-F238E27FC236}">
              <a16:creationId xmlns:a16="http://schemas.microsoft.com/office/drawing/2014/main" id="{3922487D-A1CF-4D97-8128-0EDF6AF0BCDD}"/>
            </a:ext>
          </a:extLst>
        </xdr:cNvPr>
        <xdr:cNvCxnSpPr/>
      </xdr:nvCxnSpPr>
      <xdr:spPr>
        <a:xfrm flipH="1">
          <a:off x="15866745" y="1671637"/>
          <a:ext cx="1125855" cy="37766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523874</xdr:colOff>
      <xdr:row>6</xdr:row>
      <xdr:rowOff>71438</xdr:rowOff>
    </xdr:from>
    <xdr:to>
      <xdr:col>20</xdr:col>
      <xdr:colOff>321469</xdr:colOff>
      <xdr:row>7</xdr:row>
      <xdr:rowOff>130969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5FC523B5-A467-435C-B5B2-A8C135B48A3B}"/>
            </a:ext>
          </a:extLst>
        </xdr:cNvPr>
        <xdr:cNvSpPr txBox="1"/>
      </xdr:nvSpPr>
      <xdr:spPr>
        <a:xfrm>
          <a:off x="15866744" y="1393508"/>
          <a:ext cx="1161575" cy="2424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Nanofilter</a:t>
          </a:r>
        </a:p>
      </xdr:txBody>
    </xdr:sp>
    <xdr:clientData/>
  </xdr:twoCellAnchor>
  <xdr:twoCellAnchor>
    <xdr:from>
      <xdr:col>19</xdr:col>
      <xdr:colOff>392906</xdr:colOff>
      <xdr:row>12</xdr:row>
      <xdr:rowOff>11904</xdr:rowOff>
    </xdr:from>
    <xdr:to>
      <xdr:col>20</xdr:col>
      <xdr:colOff>154781</xdr:colOff>
      <xdr:row>12</xdr:row>
      <xdr:rowOff>11904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44BBA197-FF5F-496C-8F35-D87745400859}"/>
            </a:ext>
          </a:extLst>
        </xdr:cNvPr>
        <xdr:cNvCxnSpPr/>
      </xdr:nvCxnSpPr>
      <xdr:spPr>
        <a:xfrm flipH="1">
          <a:off x="16417766" y="2431254"/>
          <a:ext cx="44386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45017</xdr:colOff>
      <xdr:row>12</xdr:row>
      <xdr:rowOff>35718</xdr:rowOff>
    </xdr:from>
    <xdr:to>
      <xdr:col>21</xdr:col>
      <xdr:colOff>471386</xdr:colOff>
      <xdr:row>14</xdr:row>
      <xdr:rowOff>169102</xdr:rowOff>
    </xdr:to>
    <xdr:grpSp>
      <xdr:nvGrpSpPr>
        <xdr:cNvPr id="163" name="Group 162">
          <a:extLst>
            <a:ext uri="{FF2B5EF4-FFF2-40B4-BE49-F238E27FC236}">
              <a16:creationId xmlns:a16="http://schemas.microsoft.com/office/drawing/2014/main" id="{51045EDB-F589-460C-9A6C-EF142A9F0B70}"/>
            </a:ext>
          </a:extLst>
        </xdr:cNvPr>
        <xdr:cNvGrpSpPr/>
      </xdr:nvGrpSpPr>
      <xdr:grpSpPr>
        <a:xfrm>
          <a:off x="13577573" y="2462829"/>
          <a:ext cx="426369" cy="500273"/>
          <a:chOff x="1327841" y="1639958"/>
          <a:chExt cx="417763" cy="534227"/>
        </a:xfrm>
      </xdr:grpSpPr>
      <xdr:sp macro="" textlink="">
        <xdr:nvSpPr>
          <xdr:cNvPr id="164" name="Hexagon 163">
            <a:extLst>
              <a:ext uri="{FF2B5EF4-FFF2-40B4-BE49-F238E27FC236}">
                <a16:creationId xmlns:a16="http://schemas.microsoft.com/office/drawing/2014/main" id="{38B8E0C3-7EA4-FCEF-A9AB-F7A9769426A2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65" name="Group 164">
            <a:extLst>
              <a:ext uri="{FF2B5EF4-FFF2-40B4-BE49-F238E27FC236}">
                <a16:creationId xmlns:a16="http://schemas.microsoft.com/office/drawing/2014/main" id="{CF43268F-0E1E-BE40-735E-F80AA2C7E234}"/>
              </a:ext>
            </a:extLst>
          </xdr:cNvPr>
          <xdr:cNvGrpSpPr/>
        </xdr:nvGrpSpPr>
        <xdr:grpSpPr>
          <a:xfrm>
            <a:off x="1353728" y="1663589"/>
            <a:ext cx="391876" cy="510596"/>
            <a:chOff x="1353728" y="1663589"/>
            <a:chExt cx="391876" cy="510596"/>
          </a:xfrm>
        </xdr:grpSpPr>
        <xdr:cxnSp macro="">
          <xdr:nvCxnSpPr>
            <xdr:cNvPr id="166" name="Straight Connector 165">
              <a:extLst>
                <a:ext uri="{FF2B5EF4-FFF2-40B4-BE49-F238E27FC236}">
                  <a16:creationId xmlns:a16="http://schemas.microsoft.com/office/drawing/2014/main" id="{95FC888A-A5D6-9C6D-CE13-03AF9FA8B16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3AF2018B-333C-20AC-A600-871FCFDBC191}"/>
                </a:ext>
              </a:extLst>
            </xdr:cNvPr>
            <xdr:cNvSpPr txBox="1"/>
          </xdr:nvSpPr>
          <xdr:spPr>
            <a:xfrm>
              <a:off x="1353728" y="1663589"/>
              <a:ext cx="391876" cy="23291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6</a:t>
              </a:r>
            </a:p>
          </xdr:txBody>
        </xdr:sp>
      </xdr:grpSp>
    </xdr:grpSp>
    <xdr:clientData/>
  </xdr:twoCellAnchor>
  <xdr:twoCellAnchor>
    <xdr:from>
      <xdr:col>15</xdr:col>
      <xdr:colOff>11907</xdr:colOff>
      <xdr:row>8</xdr:row>
      <xdr:rowOff>178593</xdr:rowOff>
    </xdr:from>
    <xdr:to>
      <xdr:col>18</xdr:col>
      <xdr:colOff>519113</xdr:colOff>
      <xdr:row>8</xdr:row>
      <xdr:rowOff>178593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9F16D8E6-0618-4BBE-ACFC-932B863CBC37}"/>
            </a:ext>
          </a:extLst>
        </xdr:cNvPr>
        <xdr:cNvCxnSpPr/>
      </xdr:nvCxnSpPr>
      <xdr:spPr>
        <a:xfrm flipH="1">
          <a:off x="13144977" y="1866423"/>
          <a:ext cx="27170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285750</xdr:colOff>
      <xdr:row>7</xdr:row>
      <xdr:rowOff>142875</xdr:rowOff>
    </xdr:from>
    <xdr:to>
      <xdr:col>15</xdr:col>
      <xdr:colOff>11907</xdr:colOff>
      <xdr:row>9</xdr:row>
      <xdr:rowOff>166687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643E4BF0-23F5-4246-8CDF-8246543C435A}"/>
            </a:ext>
          </a:extLst>
        </xdr:cNvPr>
        <xdr:cNvSpPr/>
      </xdr:nvSpPr>
      <xdr:spPr>
        <a:xfrm>
          <a:off x="11818620" y="1647825"/>
          <a:ext cx="1326357" cy="389572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285750</xdr:colOff>
      <xdr:row>7</xdr:row>
      <xdr:rowOff>142874</xdr:rowOff>
    </xdr:from>
    <xdr:to>
      <xdr:col>15</xdr:col>
      <xdr:colOff>11906</xdr:colOff>
      <xdr:row>9</xdr:row>
      <xdr:rowOff>178593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C895621A-57EA-4EF9-BE4E-378C8870ED7A}"/>
            </a:ext>
          </a:extLst>
        </xdr:cNvPr>
        <xdr:cNvCxnSpPr/>
      </xdr:nvCxnSpPr>
      <xdr:spPr>
        <a:xfrm flipH="1">
          <a:off x="11818620" y="1647824"/>
          <a:ext cx="1326356" cy="40147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178593</xdr:colOff>
      <xdr:row>6</xdr:row>
      <xdr:rowOff>83343</xdr:rowOff>
    </xdr:from>
    <xdr:to>
      <xdr:col>15</xdr:col>
      <xdr:colOff>154780</xdr:colOff>
      <xdr:row>7</xdr:row>
      <xdr:rowOff>107156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5BF22700-BECB-4C8D-91EB-D89C81C0355D}"/>
            </a:ext>
          </a:extLst>
        </xdr:cNvPr>
        <xdr:cNvSpPr txBox="1"/>
      </xdr:nvSpPr>
      <xdr:spPr>
        <a:xfrm>
          <a:off x="11711463" y="1405413"/>
          <a:ext cx="1576387" cy="2066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Low</a:t>
          </a:r>
          <a:r>
            <a:rPr lang="en-US" sz="1100" baseline="0"/>
            <a:t> Pressure RO</a:t>
          </a:r>
          <a:endParaRPr lang="en-US" sz="1100"/>
        </a:p>
      </xdr:txBody>
    </xdr:sp>
    <xdr:clientData/>
  </xdr:twoCellAnchor>
  <xdr:twoCellAnchor>
    <xdr:from>
      <xdr:col>12</xdr:col>
      <xdr:colOff>464343</xdr:colOff>
      <xdr:row>9</xdr:row>
      <xdr:rowOff>0</xdr:rowOff>
    </xdr:from>
    <xdr:to>
      <xdr:col>13</xdr:col>
      <xdr:colOff>280987</xdr:colOff>
      <xdr:row>9</xdr:row>
      <xdr:rowOff>0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21381374-D6D2-4875-BDA0-7D68DE943565}"/>
            </a:ext>
          </a:extLst>
        </xdr:cNvPr>
        <xdr:cNvCxnSpPr/>
      </xdr:nvCxnSpPr>
      <xdr:spPr>
        <a:xfrm flipH="1">
          <a:off x="11170443" y="1870710"/>
          <a:ext cx="643414" cy="0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142875</xdr:colOff>
      <xdr:row>17</xdr:row>
      <xdr:rowOff>130968</xdr:rowOff>
    </xdr:from>
    <xdr:to>
      <xdr:col>14</xdr:col>
      <xdr:colOff>142875</xdr:colOff>
      <xdr:row>25</xdr:row>
      <xdr:rowOff>130968</xdr:rowOff>
    </xdr:to>
    <xdr:cxnSp macro="">
      <xdr:nvCxnSpPr>
        <xdr:cNvPr id="173" name="Straight Arrow Connector 172">
          <a:extLst>
            <a:ext uri="{FF2B5EF4-FFF2-40B4-BE49-F238E27FC236}">
              <a16:creationId xmlns:a16="http://schemas.microsoft.com/office/drawing/2014/main" id="{5B3AC288-7A62-4F2C-A773-2B9BA89FE7B8}"/>
            </a:ext>
          </a:extLst>
        </xdr:cNvPr>
        <xdr:cNvCxnSpPr/>
      </xdr:nvCxnSpPr>
      <xdr:spPr>
        <a:xfrm>
          <a:off x="12574905" y="3464718"/>
          <a:ext cx="0" cy="146304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</xdr:colOff>
      <xdr:row>16</xdr:row>
      <xdr:rowOff>95246</xdr:rowOff>
    </xdr:from>
    <xdr:to>
      <xdr:col>14</xdr:col>
      <xdr:colOff>273843</xdr:colOff>
      <xdr:row>17</xdr:row>
      <xdr:rowOff>142873</xdr:rowOff>
    </xdr:to>
    <xdr:sp macro="" textlink="">
      <xdr:nvSpPr>
        <xdr:cNvPr id="174" name="Arc 173">
          <a:extLst>
            <a:ext uri="{FF2B5EF4-FFF2-40B4-BE49-F238E27FC236}">
              <a16:creationId xmlns:a16="http://schemas.microsoft.com/office/drawing/2014/main" id="{9F4DACA2-E786-4230-9B51-C010278D23F2}"/>
            </a:ext>
          </a:extLst>
        </xdr:cNvPr>
        <xdr:cNvSpPr/>
      </xdr:nvSpPr>
      <xdr:spPr>
        <a:xfrm flipH="1" flipV="1">
          <a:off x="12455842" y="3246116"/>
          <a:ext cx="250031" cy="230507"/>
        </a:xfrm>
        <a:prstGeom prst="arc">
          <a:avLst>
            <a:gd name="adj1" fmla="val 5400000"/>
            <a:gd name="adj2" fmla="val 16307393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130968</xdr:colOff>
      <xdr:row>15</xdr:row>
      <xdr:rowOff>0</xdr:rowOff>
    </xdr:from>
    <xdr:to>
      <xdr:col>14</xdr:col>
      <xdr:colOff>381000</xdr:colOff>
      <xdr:row>15</xdr:row>
      <xdr:rowOff>0</xdr:rowOff>
    </xdr:to>
    <xdr:cxnSp macro="">
      <xdr:nvCxnSpPr>
        <xdr:cNvPr id="175" name="Straight Connector 174">
          <a:extLst>
            <a:ext uri="{FF2B5EF4-FFF2-40B4-BE49-F238E27FC236}">
              <a16:creationId xmlns:a16="http://schemas.microsoft.com/office/drawing/2014/main" id="{5CD95F8D-5481-4E09-946B-19C1BAAE71AB}"/>
            </a:ext>
          </a:extLst>
        </xdr:cNvPr>
        <xdr:cNvCxnSpPr/>
      </xdr:nvCxnSpPr>
      <xdr:spPr>
        <a:xfrm flipH="1">
          <a:off x="12562998" y="2967990"/>
          <a:ext cx="250032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15</xdr:row>
      <xdr:rowOff>11907</xdr:rowOff>
    </xdr:from>
    <xdr:to>
      <xdr:col>3</xdr:col>
      <xdr:colOff>238125</xdr:colOff>
      <xdr:row>18</xdr:row>
      <xdr:rowOff>178593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EC219B4-C130-49A4-88AF-B6CD6922BB08}"/>
            </a:ext>
          </a:extLst>
        </xdr:cNvPr>
        <xdr:cNvSpPr/>
      </xdr:nvSpPr>
      <xdr:spPr>
        <a:xfrm>
          <a:off x="2545081" y="2979897"/>
          <a:ext cx="901064" cy="71532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797719</xdr:colOff>
      <xdr:row>15</xdr:row>
      <xdr:rowOff>11905</xdr:rowOff>
    </xdr:from>
    <xdr:to>
      <xdr:col>3</xdr:col>
      <xdr:colOff>250032</xdr:colOff>
      <xdr:row>19</xdr:row>
      <xdr:rowOff>71436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96C7AD67-4EB5-465E-86C2-5D04EBF0C1E0}"/>
            </a:ext>
          </a:extLst>
        </xdr:cNvPr>
        <xdr:cNvSpPr txBox="1"/>
      </xdr:nvSpPr>
      <xdr:spPr>
        <a:xfrm>
          <a:off x="2462689" y="2979895"/>
          <a:ext cx="995363" cy="7910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Filtration</a:t>
          </a:r>
        </a:p>
      </xdr:txBody>
    </xdr:sp>
    <xdr:clientData/>
  </xdr:twoCellAnchor>
  <xdr:twoCellAnchor>
    <xdr:from>
      <xdr:col>16</xdr:col>
      <xdr:colOff>321469</xdr:colOff>
      <xdr:row>24</xdr:row>
      <xdr:rowOff>11906</xdr:rowOff>
    </xdr:from>
    <xdr:to>
      <xdr:col>16</xdr:col>
      <xdr:colOff>321469</xdr:colOff>
      <xdr:row>25</xdr:row>
      <xdr:rowOff>130968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A79E691A-8D9A-4A8F-B9E0-5C4F2E92866C}"/>
            </a:ext>
          </a:extLst>
        </xdr:cNvPr>
        <xdr:cNvCxnSpPr/>
      </xdr:nvCxnSpPr>
      <xdr:spPr>
        <a:xfrm>
          <a:off x="14239399" y="4625816"/>
          <a:ext cx="0" cy="3019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308666</xdr:colOff>
      <xdr:row>14</xdr:row>
      <xdr:rowOff>71438</xdr:rowOff>
    </xdr:from>
    <xdr:to>
      <xdr:col>15</xdr:col>
      <xdr:colOff>639660</xdr:colOff>
      <xdr:row>17</xdr:row>
      <xdr:rowOff>22259</xdr:rowOff>
    </xdr:to>
    <xdr:grpSp>
      <xdr:nvGrpSpPr>
        <xdr:cNvPr id="179" name="Group 178">
          <a:extLst>
            <a:ext uri="{FF2B5EF4-FFF2-40B4-BE49-F238E27FC236}">
              <a16:creationId xmlns:a16="http://schemas.microsoft.com/office/drawing/2014/main" id="{FC9952FE-39F0-4BBE-9D28-E9674A1FB628}"/>
            </a:ext>
          </a:extLst>
        </xdr:cNvPr>
        <xdr:cNvGrpSpPr/>
      </xdr:nvGrpSpPr>
      <xdr:grpSpPr>
        <a:xfrm>
          <a:off x="10200555" y="2865438"/>
          <a:ext cx="299244" cy="501154"/>
          <a:chOff x="1327841" y="1639958"/>
          <a:chExt cx="388144" cy="534227"/>
        </a:xfrm>
      </xdr:grpSpPr>
      <xdr:sp macro="" textlink="">
        <xdr:nvSpPr>
          <xdr:cNvPr id="180" name="Hexagon 179">
            <a:extLst>
              <a:ext uri="{FF2B5EF4-FFF2-40B4-BE49-F238E27FC236}">
                <a16:creationId xmlns:a16="http://schemas.microsoft.com/office/drawing/2014/main" id="{CDBA78D1-79D4-A75B-1915-AC54B9A58CA9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81" name="Group 180">
            <a:extLst>
              <a:ext uri="{FF2B5EF4-FFF2-40B4-BE49-F238E27FC236}">
                <a16:creationId xmlns:a16="http://schemas.microsoft.com/office/drawing/2014/main" id="{720F6468-DC01-F221-74C8-7729BDF5BDE3}"/>
              </a:ext>
            </a:extLst>
          </xdr:cNvPr>
          <xdr:cNvGrpSpPr/>
        </xdr:nvGrpSpPr>
        <xdr:grpSpPr>
          <a:xfrm>
            <a:off x="1340643" y="1671519"/>
            <a:ext cx="375342" cy="502666"/>
            <a:chOff x="1340643" y="1671519"/>
            <a:chExt cx="375342" cy="502666"/>
          </a:xfrm>
        </xdr:grpSpPr>
        <xdr:cxnSp macro="">
          <xdr:nvCxnSpPr>
            <xdr:cNvPr id="182" name="Straight Connector 181">
              <a:extLst>
                <a:ext uri="{FF2B5EF4-FFF2-40B4-BE49-F238E27FC236}">
                  <a16:creationId xmlns:a16="http://schemas.microsoft.com/office/drawing/2014/main" id="{32E30043-2CDA-9C4B-8609-AA2546407A31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55AEB5ED-5287-63A8-372B-E462B53124F7}"/>
                </a:ext>
              </a:extLst>
            </xdr:cNvPr>
            <xdr:cNvSpPr txBox="1"/>
          </xdr:nvSpPr>
          <xdr:spPr>
            <a:xfrm>
              <a:off x="1340643" y="1671519"/>
              <a:ext cx="375342" cy="219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</a:t>
              </a:r>
            </a:p>
          </xdr:txBody>
        </xdr:sp>
      </xdr:grpSp>
    </xdr:grpSp>
    <xdr:clientData/>
  </xdr:twoCellAnchor>
  <xdr:twoCellAnchor>
    <xdr:from>
      <xdr:col>18</xdr:col>
      <xdr:colOff>571446</xdr:colOff>
      <xdr:row>14</xdr:row>
      <xdr:rowOff>47625</xdr:rowOff>
    </xdr:from>
    <xdr:to>
      <xdr:col>19</xdr:col>
      <xdr:colOff>312637</xdr:colOff>
      <xdr:row>17</xdr:row>
      <xdr:rowOff>793</xdr:rowOff>
    </xdr:to>
    <xdr:grpSp>
      <xdr:nvGrpSpPr>
        <xdr:cNvPr id="184" name="Group 183">
          <a:extLst>
            <a:ext uri="{FF2B5EF4-FFF2-40B4-BE49-F238E27FC236}">
              <a16:creationId xmlns:a16="http://schemas.microsoft.com/office/drawing/2014/main" id="{4FE482DC-1FF6-4A3A-83D7-43C7F9D96793}"/>
            </a:ext>
          </a:extLst>
        </xdr:cNvPr>
        <xdr:cNvGrpSpPr/>
      </xdr:nvGrpSpPr>
      <xdr:grpSpPr>
        <a:xfrm>
          <a:off x="12283668" y="2841625"/>
          <a:ext cx="347969" cy="503501"/>
          <a:chOff x="1327841" y="1639958"/>
          <a:chExt cx="347565" cy="534227"/>
        </a:xfrm>
      </xdr:grpSpPr>
      <xdr:sp macro="" textlink="">
        <xdr:nvSpPr>
          <xdr:cNvPr id="185" name="Hexagon 184">
            <a:extLst>
              <a:ext uri="{FF2B5EF4-FFF2-40B4-BE49-F238E27FC236}">
                <a16:creationId xmlns:a16="http://schemas.microsoft.com/office/drawing/2014/main" id="{6087677A-86BF-EA1A-5CC9-2D2F85FF9885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86" name="Group 185">
            <a:extLst>
              <a:ext uri="{FF2B5EF4-FFF2-40B4-BE49-F238E27FC236}">
                <a16:creationId xmlns:a16="http://schemas.microsoft.com/office/drawing/2014/main" id="{1A5122FB-3910-F457-C9E6-D0FEDD6575E0}"/>
              </a:ext>
            </a:extLst>
          </xdr:cNvPr>
          <xdr:cNvGrpSpPr/>
        </xdr:nvGrpSpPr>
        <xdr:grpSpPr>
          <a:xfrm>
            <a:off x="1350864" y="1653461"/>
            <a:ext cx="324542" cy="520724"/>
            <a:chOff x="1350864" y="1653461"/>
            <a:chExt cx="324542" cy="520724"/>
          </a:xfrm>
        </xdr:grpSpPr>
        <xdr:cxnSp macro="">
          <xdr:nvCxnSpPr>
            <xdr:cNvPr id="187" name="Straight Connector 186">
              <a:extLst>
                <a:ext uri="{FF2B5EF4-FFF2-40B4-BE49-F238E27FC236}">
                  <a16:creationId xmlns:a16="http://schemas.microsoft.com/office/drawing/2014/main" id="{ED4AFBD8-AFF5-524D-984B-3DFB2FE839EC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0B151759-5D37-9275-9A6A-D400C09D47FB}"/>
                </a:ext>
              </a:extLst>
            </xdr:cNvPr>
            <xdr:cNvSpPr txBox="1"/>
          </xdr:nvSpPr>
          <xdr:spPr>
            <a:xfrm>
              <a:off x="135086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4</a:t>
              </a:r>
            </a:p>
          </xdr:txBody>
        </xdr:sp>
      </xdr:grpSp>
    </xdr:grpSp>
    <xdr:clientData/>
  </xdr:twoCellAnchor>
  <xdr:twoCellAnchor>
    <xdr:from>
      <xdr:col>20</xdr:col>
      <xdr:colOff>284855</xdr:colOff>
      <xdr:row>14</xdr:row>
      <xdr:rowOff>35719</xdr:rowOff>
    </xdr:from>
    <xdr:to>
      <xdr:col>21</xdr:col>
      <xdr:colOff>3074</xdr:colOff>
      <xdr:row>16</xdr:row>
      <xdr:rowOff>179387</xdr:rowOff>
    </xdr:to>
    <xdr:grpSp>
      <xdr:nvGrpSpPr>
        <xdr:cNvPr id="189" name="Group 188">
          <a:extLst>
            <a:ext uri="{FF2B5EF4-FFF2-40B4-BE49-F238E27FC236}">
              <a16:creationId xmlns:a16="http://schemas.microsoft.com/office/drawing/2014/main" id="{BB6D1A7A-25A7-48A3-A844-CCAFE628A8BE}"/>
            </a:ext>
          </a:extLst>
        </xdr:cNvPr>
        <xdr:cNvGrpSpPr/>
      </xdr:nvGrpSpPr>
      <xdr:grpSpPr>
        <a:xfrm>
          <a:off x="13210633" y="2829719"/>
          <a:ext cx="324997" cy="510557"/>
          <a:chOff x="1327841" y="1639958"/>
          <a:chExt cx="337344" cy="534227"/>
        </a:xfrm>
      </xdr:grpSpPr>
      <xdr:sp macro="" textlink="">
        <xdr:nvSpPr>
          <xdr:cNvPr id="190" name="Hexagon 189">
            <a:extLst>
              <a:ext uri="{FF2B5EF4-FFF2-40B4-BE49-F238E27FC236}">
                <a16:creationId xmlns:a16="http://schemas.microsoft.com/office/drawing/2014/main" id="{C0D09FC8-B8E2-082A-4C46-1B30B393363E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91" name="Group 190">
            <a:extLst>
              <a:ext uri="{FF2B5EF4-FFF2-40B4-BE49-F238E27FC236}">
                <a16:creationId xmlns:a16="http://schemas.microsoft.com/office/drawing/2014/main" id="{A5376506-A2A4-2E69-33E4-EC5A3F9DC41A}"/>
              </a:ext>
            </a:extLst>
          </xdr:cNvPr>
          <xdr:cNvGrpSpPr/>
        </xdr:nvGrpSpPr>
        <xdr:grpSpPr>
          <a:xfrm>
            <a:off x="1340643" y="1653461"/>
            <a:ext cx="324542" cy="520724"/>
            <a:chOff x="1340643" y="1653461"/>
            <a:chExt cx="324542" cy="520724"/>
          </a:xfrm>
        </xdr:grpSpPr>
        <xdr:cxnSp macro="">
          <xdr:nvCxnSpPr>
            <xdr:cNvPr id="192" name="Straight Connector 191">
              <a:extLst>
                <a:ext uri="{FF2B5EF4-FFF2-40B4-BE49-F238E27FC236}">
                  <a16:creationId xmlns:a16="http://schemas.microsoft.com/office/drawing/2014/main" id="{64A3FD6F-30C3-7CF4-5CE6-E701C199069E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B8105AE5-E62B-1F99-A486-C5F03F676F30}"/>
                </a:ext>
              </a:extLst>
            </xdr:cNvPr>
            <xdr:cNvSpPr txBox="1"/>
          </xdr:nvSpPr>
          <xdr:spPr>
            <a:xfrm>
              <a:off x="1340643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5</a:t>
              </a:r>
            </a:p>
          </xdr:txBody>
        </xdr:sp>
      </xdr:grpSp>
    </xdr:grpSp>
    <xdr:clientData/>
  </xdr:twoCellAnchor>
  <xdr:twoCellAnchor>
    <xdr:from>
      <xdr:col>22</xdr:col>
      <xdr:colOff>378</xdr:colOff>
      <xdr:row>12</xdr:row>
      <xdr:rowOff>23812</xdr:rowOff>
    </xdr:from>
    <xdr:to>
      <xdr:col>22</xdr:col>
      <xdr:colOff>359466</xdr:colOff>
      <xdr:row>14</xdr:row>
      <xdr:rowOff>177039</xdr:rowOff>
    </xdr:to>
    <xdr:grpSp>
      <xdr:nvGrpSpPr>
        <xdr:cNvPr id="194" name="Group 193">
          <a:extLst>
            <a:ext uri="{FF2B5EF4-FFF2-40B4-BE49-F238E27FC236}">
              <a16:creationId xmlns:a16="http://schemas.microsoft.com/office/drawing/2014/main" id="{C41EDD14-7FCE-445D-90FA-E97BCD44529E}"/>
            </a:ext>
          </a:extLst>
        </xdr:cNvPr>
        <xdr:cNvGrpSpPr/>
      </xdr:nvGrpSpPr>
      <xdr:grpSpPr>
        <a:xfrm>
          <a:off x="14139711" y="2450923"/>
          <a:ext cx="359088" cy="520116"/>
          <a:chOff x="1327841" y="1639958"/>
          <a:chExt cx="374975" cy="534227"/>
        </a:xfrm>
      </xdr:grpSpPr>
      <xdr:sp macro="" textlink="">
        <xdr:nvSpPr>
          <xdr:cNvPr id="195" name="Hexagon 194">
            <a:extLst>
              <a:ext uri="{FF2B5EF4-FFF2-40B4-BE49-F238E27FC236}">
                <a16:creationId xmlns:a16="http://schemas.microsoft.com/office/drawing/2014/main" id="{BF2DEC47-35B4-BCC0-9731-AE23D09C12DD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96" name="Group 195">
            <a:extLst>
              <a:ext uri="{FF2B5EF4-FFF2-40B4-BE49-F238E27FC236}">
                <a16:creationId xmlns:a16="http://schemas.microsoft.com/office/drawing/2014/main" id="{D4B1F12E-5F79-998D-3635-99C484F28302}"/>
              </a:ext>
            </a:extLst>
          </xdr:cNvPr>
          <xdr:cNvGrpSpPr/>
        </xdr:nvGrpSpPr>
        <xdr:grpSpPr>
          <a:xfrm>
            <a:off x="1352874" y="1666874"/>
            <a:ext cx="349942" cy="507311"/>
            <a:chOff x="1352874" y="1666874"/>
            <a:chExt cx="349942" cy="507311"/>
          </a:xfrm>
        </xdr:grpSpPr>
        <xdr:cxnSp macro="">
          <xdr:nvCxnSpPr>
            <xdr:cNvPr id="197" name="Straight Connector 196">
              <a:extLst>
                <a:ext uri="{FF2B5EF4-FFF2-40B4-BE49-F238E27FC236}">
                  <a16:creationId xmlns:a16="http://schemas.microsoft.com/office/drawing/2014/main" id="{44645AA2-70AB-3319-0318-D095F53C851B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3C702FDC-DBA6-60BB-3FF4-EBD9CAC4FCBD}"/>
                </a:ext>
              </a:extLst>
            </xdr:cNvPr>
            <xdr:cNvSpPr txBox="1"/>
          </xdr:nvSpPr>
          <xdr:spPr>
            <a:xfrm>
              <a:off x="1352874" y="1666874"/>
              <a:ext cx="349942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7</a:t>
              </a:r>
            </a:p>
          </xdr:txBody>
        </xdr:sp>
      </xdr:grpSp>
    </xdr:grpSp>
    <xdr:clientData/>
  </xdr:twoCellAnchor>
  <xdr:twoCellAnchor>
    <xdr:from>
      <xdr:col>14</xdr:col>
      <xdr:colOff>214311</xdr:colOff>
      <xdr:row>12</xdr:row>
      <xdr:rowOff>59531</xdr:rowOff>
    </xdr:from>
    <xdr:to>
      <xdr:col>14</xdr:col>
      <xdr:colOff>589653</xdr:colOff>
      <xdr:row>15</xdr:row>
      <xdr:rowOff>10352</xdr:rowOff>
    </xdr:to>
    <xdr:grpSp>
      <xdr:nvGrpSpPr>
        <xdr:cNvPr id="199" name="Group 198">
          <a:extLst>
            <a:ext uri="{FF2B5EF4-FFF2-40B4-BE49-F238E27FC236}">
              <a16:creationId xmlns:a16="http://schemas.microsoft.com/office/drawing/2014/main" id="{64D19389-8319-4F7F-A7FA-27F0DC97E899}"/>
            </a:ext>
          </a:extLst>
        </xdr:cNvPr>
        <xdr:cNvGrpSpPr/>
      </xdr:nvGrpSpPr>
      <xdr:grpSpPr>
        <a:xfrm>
          <a:off x="9499422" y="2486642"/>
          <a:ext cx="375342" cy="501154"/>
          <a:chOff x="1304924" y="1639958"/>
          <a:chExt cx="375342" cy="534227"/>
        </a:xfrm>
      </xdr:grpSpPr>
      <xdr:sp macro="" textlink="">
        <xdr:nvSpPr>
          <xdr:cNvPr id="200" name="Hexagon 199">
            <a:extLst>
              <a:ext uri="{FF2B5EF4-FFF2-40B4-BE49-F238E27FC236}">
                <a16:creationId xmlns:a16="http://schemas.microsoft.com/office/drawing/2014/main" id="{9F4EAB72-5CE6-BCD4-CAFD-3331ADE7DE41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01" name="Group 200">
            <a:extLst>
              <a:ext uri="{FF2B5EF4-FFF2-40B4-BE49-F238E27FC236}">
                <a16:creationId xmlns:a16="http://schemas.microsoft.com/office/drawing/2014/main" id="{50056F6A-9BC3-5683-A05D-16A15DC0AE58}"/>
              </a:ext>
            </a:extLst>
          </xdr:cNvPr>
          <xdr:cNvGrpSpPr/>
        </xdr:nvGrpSpPr>
        <xdr:grpSpPr>
          <a:xfrm>
            <a:off x="1304924" y="1647163"/>
            <a:ext cx="375342" cy="527022"/>
            <a:chOff x="1304924" y="1647163"/>
            <a:chExt cx="375342" cy="527022"/>
          </a:xfrm>
        </xdr:grpSpPr>
        <xdr:cxnSp macro="">
          <xdr:nvCxnSpPr>
            <xdr:cNvPr id="202" name="Straight Connector 201">
              <a:extLst>
                <a:ext uri="{FF2B5EF4-FFF2-40B4-BE49-F238E27FC236}">
                  <a16:creationId xmlns:a16="http://schemas.microsoft.com/office/drawing/2014/main" id="{87BD2F72-E7C3-3C9E-DEA9-D5AD463A39C5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088D67A8-ABE1-DBA9-2770-F19BF2CAF272}"/>
                </a:ext>
              </a:extLst>
            </xdr:cNvPr>
            <xdr:cNvSpPr txBox="1"/>
          </xdr:nvSpPr>
          <xdr:spPr>
            <a:xfrm>
              <a:off x="1304924" y="1647163"/>
              <a:ext cx="375342" cy="219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27</a:t>
              </a:r>
            </a:p>
          </xdr:txBody>
        </xdr:sp>
      </xdr:grpSp>
    </xdr:grpSp>
    <xdr:clientData/>
  </xdr:twoCellAnchor>
  <xdr:twoCellAnchor>
    <xdr:from>
      <xdr:col>19</xdr:col>
      <xdr:colOff>571499</xdr:colOff>
      <xdr:row>16</xdr:row>
      <xdr:rowOff>35719</xdr:rowOff>
    </xdr:from>
    <xdr:to>
      <xdr:col>20</xdr:col>
      <xdr:colOff>273843</xdr:colOff>
      <xdr:row>17</xdr:row>
      <xdr:rowOff>166687</xdr:rowOff>
    </xdr:to>
    <xdr:grpSp>
      <xdr:nvGrpSpPr>
        <xdr:cNvPr id="204" name="Group 203">
          <a:extLst>
            <a:ext uri="{FF2B5EF4-FFF2-40B4-BE49-F238E27FC236}">
              <a16:creationId xmlns:a16="http://schemas.microsoft.com/office/drawing/2014/main" id="{9537BC6A-6484-4087-A571-80DDD144A520}"/>
            </a:ext>
          </a:extLst>
        </xdr:cNvPr>
        <xdr:cNvGrpSpPr/>
      </xdr:nvGrpSpPr>
      <xdr:grpSpPr>
        <a:xfrm>
          <a:off x="12890499" y="3196608"/>
          <a:ext cx="309122" cy="314412"/>
          <a:chOff x="6453188" y="3298031"/>
          <a:chExt cx="309562" cy="321468"/>
        </a:xfrm>
      </xdr:grpSpPr>
      <xdr:sp macro="" textlink="">
        <xdr:nvSpPr>
          <xdr:cNvPr id="205" name="Oval 204">
            <a:extLst>
              <a:ext uri="{FF2B5EF4-FFF2-40B4-BE49-F238E27FC236}">
                <a16:creationId xmlns:a16="http://schemas.microsoft.com/office/drawing/2014/main" id="{29EC483B-9D13-44B8-47DF-10AE687B052C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6" name="Isosceles Triangle 205">
            <a:extLst>
              <a:ext uri="{FF2B5EF4-FFF2-40B4-BE49-F238E27FC236}">
                <a16:creationId xmlns:a16="http://schemas.microsoft.com/office/drawing/2014/main" id="{6D9562EC-7A71-440F-3390-6D42C0F561E2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28</xdr:col>
      <xdr:colOff>69056</xdr:colOff>
      <xdr:row>26</xdr:row>
      <xdr:rowOff>21431</xdr:rowOff>
    </xdr:from>
    <xdr:to>
      <xdr:col>28</xdr:col>
      <xdr:colOff>378618</xdr:colOff>
      <xdr:row>27</xdr:row>
      <xdr:rowOff>152399</xdr:rowOff>
    </xdr:to>
    <xdr:grpSp>
      <xdr:nvGrpSpPr>
        <xdr:cNvPr id="207" name="Group 206">
          <a:extLst>
            <a:ext uri="{FF2B5EF4-FFF2-40B4-BE49-F238E27FC236}">
              <a16:creationId xmlns:a16="http://schemas.microsoft.com/office/drawing/2014/main" id="{A2ED1D82-E42B-442C-97F3-255A5148AB75}"/>
            </a:ext>
          </a:extLst>
        </xdr:cNvPr>
        <xdr:cNvGrpSpPr/>
      </xdr:nvGrpSpPr>
      <xdr:grpSpPr>
        <a:xfrm>
          <a:off x="17849056" y="5016764"/>
          <a:ext cx="309562" cy="314413"/>
          <a:chOff x="6453188" y="3298031"/>
          <a:chExt cx="309562" cy="321468"/>
        </a:xfrm>
      </xdr:grpSpPr>
      <xdr:sp macro="" textlink="">
        <xdr:nvSpPr>
          <xdr:cNvPr id="208" name="Oval 207">
            <a:extLst>
              <a:ext uri="{FF2B5EF4-FFF2-40B4-BE49-F238E27FC236}">
                <a16:creationId xmlns:a16="http://schemas.microsoft.com/office/drawing/2014/main" id="{FE1E252D-BBFA-C441-C6F9-6B2A1C0F6FC7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9" name="Isosceles Triangle 208">
            <a:extLst>
              <a:ext uri="{FF2B5EF4-FFF2-40B4-BE49-F238E27FC236}">
                <a16:creationId xmlns:a16="http://schemas.microsoft.com/office/drawing/2014/main" id="{67776C84-1D46-D13A-6376-B256882670AB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20</xdr:col>
      <xdr:colOff>170258</xdr:colOff>
      <xdr:row>10</xdr:row>
      <xdr:rowOff>175022</xdr:rowOff>
    </xdr:from>
    <xdr:to>
      <xdr:col>20</xdr:col>
      <xdr:colOff>584595</xdr:colOff>
      <xdr:row>12</xdr:row>
      <xdr:rowOff>120253</xdr:rowOff>
    </xdr:to>
    <xdr:grpSp>
      <xdr:nvGrpSpPr>
        <xdr:cNvPr id="210" name="Group 209">
          <a:extLst>
            <a:ext uri="{FF2B5EF4-FFF2-40B4-BE49-F238E27FC236}">
              <a16:creationId xmlns:a16="http://schemas.microsoft.com/office/drawing/2014/main" id="{6B2CE2F5-DD82-49A8-B819-7114F83FE096}"/>
            </a:ext>
          </a:extLst>
        </xdr:cNvPr>
        <xdr:cNvGrpSpPr/>
      </xdr:nvGrpSpPr>
      <xdr:grpSpPr>
        <a:xfrm rot="16200000">
          <a:off x="13147145" y="2184135"/>
          <a:ext cx="312120" cy="414337"/>
          <a:chOff x="7627144" y="3759997"/>
          <a:chExt cx="326231" cy="414337"/>
        </a:xfrm>
      </xdr:grpSpPr>
      <xdr:sp macro="" textlink="">
        <xdr:nvSpPr>
          <xdr:cNvPr id="211" name="Isosceles Triangle 210">
            <a:extLst>
              <a:ext uri="{FF2B5EF4-FFF2-40B4-BE49-F238E27FC236}">
                <a16:creationId xmlns:a16="http://schemas.microsoft.com/office/drawing/2014/main" id="{119EFC13-7C72-40C2-183E-FA9E7819317E}"/>
              </a:ext>
            </a:extLst>
          </xdr:cNvPr>
          <xdr:cNvSpPr/>
        </xdr:nvSpPr>
        <xdr:spPr>
          <a:xfrm rot="10800000">
            <a:off x="7629525" y="3759997"/>
            <a:ext cx="238125" cy="214312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2" name="Isosceles Triangle 211">
            <a:extLst>
              <a:ext uri="{FF2B5EF4-FFF2-40B4-BE49-F238E27FC236}">
                <a16:creationId xmlns:a16="http://schemas.microsoft.com/office/drawing/2014/main" id="{A874FDBC-0367-BD32-D9B8-D55ED585999F}"/>
              </a:ext>
            </a:extLst>
          </xdr:cNvPr>
          <xdr:cNvSpPr/>
        </xdr:nvSpPr>
        <xdr:spPr>
          <a:xfrm>
            <a:off x="7627144" y="3960022"/>
            <a:ext cx="238125" cy="214312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13" name="Straight Connector 212">
            <a:extLst>
              <a:ext uri="{FF2B5EF4-FFF2-40B4-BE49-F238E27FC236}">
                <a16:creationId xmlns:a16="http://schemas.microsoft.com/office/drawing/2014/main" id="{893B73D9-5BE4-E59A-80C0-F826BB29B1A3}"/>
              </a:ext>
            </a:extLst>
          </xdr:cNvPr>
          <xdr:cNvCxnSpPr/>
        </xdr:nvCxnSpPr>
        <xdr:spPr>
          <a:xfrm>
            <a:off x="7750969" y="3964781"/>
            <a:ext cx="20240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37B72B26-1638-5319-A0AB-D1ABCB5A4D31}"/>
              </a:ext>
            </a:extLst>
          </xdr:cNvPr>
          <xdr:cNvCxnSpPr/>
        </xdr:nvCxnSpPr>
        <xdr:spPr>
          <a:xfrm>
            <a:off x="7953375" y="3845719"/>
            <a:ext cx="0" cy="23812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23812</xdr:colOff>
      <xdr:row>10</xdr:row>
      <xdr:rowOff>47625</xdr:rowOff>
    </xdr:from>
    <xdr:to>
      <xdr:col>14</xdr:col>
      <xdr:colOff>350043</xdr:colOff>
      <xdr:row>12</xdr:row>
      <xdr:rowOff>80962</xdr:rowOff>
    </xdr:to>
    <xdr:grpSp>
      <xdr:nvGrpSpPr>
        <xdr:cNvPr id="215" name="Group 214">
          <a:extLst>
            <a:ext uri="{FF2B5EF4-FFF2-40B4-BE49-F238E27FC236}">
              <a16:creationId xmlns:a16="http://schemas.microsoft.com/office/drawing/2014/main" id="{8D395075-2782-45F6-8080-D93C17CC221F}"/>
            </a:ext>
          </a:extLst>
        </xdr:cNvPr>
        <xdr:cNvGrpSpPr/>
      </xdr:nvGrpSpPr>
      <xdr:grpSpPr>
        <a:xfrm>
          <a:off x="9308923" y="2107847"/>
          <a:ext cx="326231" cy="400226"/>
          <a:chOff x="7627144" y="3759997"/>
          <a:chExt cx="326231" cy="414337"/>
        </a:xfrm>
      </xdr:grpSpPr>
      <xdr:sp macro="" textlink="">
        <xdr:nvSpPr>
          <xdr:cNvPr id="216" name="Isosceles Triangle 215">
            <a:extLst>
              <a:ext uri="{FF2B5EF4-FFF2-40B4-BE49-F238E27FC236}">
                <a16:creationId xmlns:a16="http://schemas.microsoft.com/office/drawing/2014/main" id="{43D0C038-C32E-76C8-47C1-3CE4E69C6166}"/>
              </a:ext>
            </a:extLst>
          </xdr:cNvPr>
          <xdr:cNvSpPr/>
        </xdr:nvSpPr>
        <xdr:spPr>
          <a:xfrm rot="10800000">
            <a:off x="7629525" y="3759997"/>
            <a:ext cx="238125" cy="214312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7" name="Isosceles Triangle 216">
            <a:extLst>
              <a:ext uri="{FF2B5EF4-FFF2-40B4-BE49-F238E27FC236}">
                <a16:creationId xmlns:a16="http://schemas.microsoft.com/office/drawing/2014/main" id="{7286D686-856B-536C-939F-158846CDD531}"/>
              </a:ext>
            </a:extLst>
          </xdr:cNvPr>
          <xdr:cNvSpPr/>
        </xdr:nvSpPr>
        <xdr:spPr>
          <a:xfrm>
            <a:off x="7627144" y="3960022"/>
            <a:ext cx="238125" cy="214312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18" name="Straight Connector 217">
            <a:extLst>
              <a:ext uri="{FF2B5EF4-FFF2-40B4-BE49-F238E27FC236}">
                <a16:creationId xmlns:a16="http://schemas.microsoft.com/office/drawing/2014/main" id="{84C2513D-4E6C-5C2C-E017-7FEBC6908AB6}"/>
              </a:ext>
            </a:extLst>
          </xdr:cNvPr>
          <xdr:cNvCxnSpPr/>
        </xdr:nvCxnSpPr>
        <xdr:spPr>
          <a:xfrm>
            <a:off x="7750969" y="3964781"/>
            <a:ext cx="20240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9" name="Straight Connector 218">
            <a:extLst>
              <a:ext uri="{FF2B5EF4-FFF2-40B4-BE49-F238E27FC236}">
                <a16:creationId xmlns:a16="http://schemas.microsoft.com/office/drawing/2014/main" id="{D0F711B4-EEA1-AC0F-4CE4-D53D39EE97B0}"/>
              </a:ext>
            </a:extLst>
          </xdr:cNvPr>
          <xdr:cNvCxnSpPr/>
        </xdr:nvCxnSpPr>
        <xdr:spPr>
          <a:xfrm>
            <a:off x="7953375" y="3845719"/>
            <a:ext cx="0" cy="23812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464344</xdr:colOff>
      <xdr:row>8</xdr:row>
      <xdr:rowOff>23813</xdr:rowOff>
    </xdr:from>
    <xdr:to>
      <xdr:col>22</xdr:col>
      <xdr:colOff>0</xdr:colOff>
      <xdr:row>9</xdr:row>
      <xdr:rowOff>154781</xdr:rowOff>
    </xdr:to>
    <xdr:grpSp>
      <xdr:nvGrpSpPr>
        <xdr:cNvPr id="220" name="Group 219">
          <a:extLst>
            <a:ext uri="{FF2B5EF4-FFF2-40B4-BE49-F238E27FC236}">
              <a16:creationId xmlns:a16="http://schemas.microsoft.com/office/drawing/2014/main" id="{9FDEF863-DA91-4EFD-AA7B-9215076DE775}"/>
            </a:ext>
          </a:extLst>
        </xdr:cNvPr>
        <xdr:cNvGrpSpPr/>
      </xdr:nvGrpSpPr>
      <xdr:grpSpPr>
        <a:xfrm rot="10800000">
          <a:off x="13996900" y="1717146"/>
          <a:ext cx="142433" cy="314413"/>
          <a:chOff x="6453188" y="3298031"/>
          <a:chExt cx="309562" cy="321468"/>
        </a:xfrm>
      </xdr:grpSpPr>
      <xdr:sp macro="" textlink="">
        <xdr:nvSpPr>
          <xdr:cNvPr id="221" name="Oval 220">
            <a:extLst>
              <a:ext uri="{FF2B5EF4-FFF2-40B4-BE49-F238E27FC236}">
                <a16:creationId xmlns:a16="http://schemas.microsoft.com/office/drawing/2014/main" id="{D8D2125A-3F7A-3E36-061C-4790BEE11B39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2" name="Isosceles Triangle 221">
            <a:extLst>
              <a:ext uri="{FF2B5EF4-FFF2-40B4-BE49-F238E27FC236}">
                <a16:creationId xmlns:a16="http://schemas.microsoft.com/office/drawing/2014/main" id="{95D7D96D-C574-7D93-0830-E347FAFAFA7B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583403</xdr:colOff>
      <xdr:row>9</xdr:row>
      <xdr:rowOff>107157</xdr:rowOff>
    </xdr:from>
    <xdr:to>
      <xdr:col>2</xdr:col>
      <xdr:colOff>71437</xdr:colOff>
      <xdr:row>11</xdr:row>
      <xdr:rowOff>47625</xdr:rowOff>
    </xdr:to>
    <xdr:grpSp>
      <xdr:nvGrpSpPr>
        <xdr:cNvPr id="223" name="Group 222">
          <a:extLst>
            <a:ext uri="{FF2B5EF4-FFF2-40B4-BE49-F238E27FC236}">
              <a16:creationId xmlns:a16="http://schemas.microsoft.com/office/drawing/2014/main" id="{2A8727A1-97C6-47F8-8833-1823168AB979}"/>
            </a:ext>
          </a:extLst>
        </xdr:cNvPr>
        <xdr:cNvGrpSpPr/>
      </xdr:nvGrpSpPr>
      <xdr:grpSpPr>
        <a:xfrm rot="10800000">
          <a:off x="1782847" y="1983935"/>
          <a:ext cx="94812" cy="307357"/>
          <a:chOff x="6453188" y="3298031"/>
          <a:chExt cx="309562" cy="321468"/>
        </a:xfrm>
      </xdr:grpSpPr>
      <xdr:sp macro="" textlink="">
        <xdr:nvSpPr>
          <xdr:cNvPr id="224" name="Oval 223">
            <a:extLst>
              <a:ext uri="{FF2B5EF4-FFF2-40B4-BE49-F238E27FC236}">
                <a16:creationId xmlns:a16="http://schemas.microsoft.com/office/drawing/2014/main" id="{59BFBA56-8E0E-F7D3-60FE-4BF91670B33F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5" name="Isosceles Triangle 224">
            <a:extLst>
              <a:ext uri="{FF2B5EF4-FFF2-40B4-BE49-F238E27FC236}">
                <a16:creationId xmlns:a16="http://schemas.microsoft.com/office/drawing/2014/main" id="{C735502E-7871-5265-1F39-AE21A763C236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107156</xdr:colOff>
      <xdr:row>16</xdr:row>
      <xdr:rowOff>35718</xdr:rowOff>
    </xdr:from>
    <xdr:to>
      <xdr:col>1</xdr:col>
      <xdr:colOff>416718</xdr:colOff>
      <xdr:row>17</xdr:row>
      <xdr:rowOff>166686</xdr:rowOff>
    </xdr:to>
    <xdr:grpSp>
      <xdr:nvGrpSpPr>
        <xdr:cNvPr id="226" name="Group 225">
          <a:extLst>
            <a:ext uri="{FF2B5EF4-FFF2-40B4-BE49-F238E27FC236}">
              <a16:creationId xmlns:a16="http://schemas.microsoft.com/office/drawing/2014/main" id="{97A4438C-DFD6-484D-83D4-75967C73F05B}"/>
            </a:ext>
          </a:extLst>
        </xdr:cNvPr>
        <xdr:cNvGrpSpPr/>
      </xdr:nvGrpSpPr>
      <xdr:grpSpPr>
        <a:xfrm>
          <a:off x="1306600" y="3196607"/>
          <a:ext cx="309562" cy="314412"/>
          <a:chOff x="6453188" y="3298031"/>
          <a:chExt cx="309562" cy="321468"/>
        </a:xfrm>
      </xdr:grpSpPr>
      <xdr:sp macro="" textlink="">
        <xdr:nvSpPr>
          <xdr:cNvPr id="227" name="Oval 226">
            <a:extLst>
              <a:ext uri="{FF2B5EF4-FFF2-40B4-BE49-F238E27FC236}">
                <a16:creationId xmlns:a16="http://schemas.microsoft.com/office/drawing/2014/main" id="{3D66AEC6-C35D-D9BF-747B-74A1D0FB1977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8" name="Isosceles Triangle 227">
            <a:extLst>
              <a:ext uri="{FF2B5EF4-FFF2-40B4-BE49-F238E27FC236}">
                <a16:creationId xmlns:a16="http://schemas.microsoft.com/office/drawing/2014/main" id="{E1E07238-B5E5-3A27-C228-FE7EE772FE31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16</xdr:col>
      <xdr:colOff>0</xdr:colOff>
      <xdr:row>8</xdr:row>
      <xdr:rowOff>11907</xdr:rowOff>
    </xdr:from>
    <xdr:to>
      <xdr:col>16</xdr:col>
      <xdr:colOff>309562</xdr:colOff>
      <xdr:row>9</xdr:row>
      <xdr:rowOff>142875</xdr:rowOff>
    </xdr:to>
    <xdr:grpSp>
      <xdr:nvGrpSpPr>
        <xdr:cNvPr id="229" name="Group 228">
          <a:extLst>
            <a:ext uri="{FF2B5EF4-FFF2-40B4-BE49-F238E27FC236}">
              <a16:creationId xmlns:a16="http://schemas.microsoft.com/office/drawing/2014/main" id="{5635C287-8A8C-4A09-81CB-4DEDFE93531C}"/>
            </a:ext>
          </a:extLst>
        </xdr:cNvPr>
        <xdr:cNvGrpSpPr/>
      </xdr:nvGrpSpPr>
      <xdr:grpSpPr>
        <a:xfrm rot="10800000">
          <a:off x="10498667" y="1705240"/>
          <a:ext cx="309562" cy="314413"/>
          <a:chOff x="6453188" y="3298031"/>
          <a:chExt cx="309562" cy="321468"/>
        </a:xfrm>
      </xdr:grpSpPr>
      <xdr:sp macro="" textlink="">
        <xdr:nvSpPr>
          <xdr:cNvPr id="230" name="Oval 229">
            <a:extLst>
              <a:ext uri="{FF2B5EF4-FFF2-40B4-BE49-F238E27FC236}">
                <a16:creationId xmlns:a16="http://schemas.microsoft.com/office/drawing/2014/main" id="{8F33E02B-C9AA-7984-9E61-64B6E3F602AC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1" name="Isosceles Triangle 230">
            <a:extLst>
              <a:ext uri="{FF2B5EF4-FFF2-40B4-BE49-F238E27FC236}">
                <a16:creationId xmlns:a16="http://schemas.microsoft.com/office/drawing/2014/main" id="{595F3610-1BC1-3EFE-5250-4E0B115A7CD7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15</xdr:col>
      <xdr:colOff>238126</xdr:colOff>
      <xdr:row>13</xdr:row>
      <xdr:rowOff>83343</xdr:rowOff>
    </xdr:from>
    <xdr:to>
      <xdr:col>15</xdr:col>
      <xdr:colOff>238126</xdr:colOff>
      <xdr:row>17</xdr:row>
      <xdr:rowOff>0</xdr:rowOff>
    </xdr:to>
    <xdr:cxnSp macro="">
      <xdr:nvCxnSpPr>
        <xdr:cNvPr id="232" name="Straight Arrow Connector 231">
          <a:extLst>
            <a:ext uri="{FF2B5EF4-FFF2-40B4-BE49-F238E27FC236}">
              <a16:creationId xmlns:a16="http://schemas.microsoft.com/office/drawing/2014/main" id="{8A4FD066-6BCC-4704-9DB5-7E15A01E6572}"/>
            </a:ext>
          </a:extLst>
        </xdr:cNvPr>
        <xdr:cNvCxnSpPr/>
      </xdr:nvCxnSpPr>
      <xdr:spPr>
        <a:xfrm>
          <a:off x="13371196" y="2685573"/>
          <a:ext cx="0" cy="64817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547688</xdr:colOff>
      <xdr:row>13</xdr:row>
      <xdr:rowOff>83344</xdr:rowOff>
    </xdr:from>
    <xdr:to>
      <xdr:col>15</xdr:col>
      <xdr:colOff>559595</xdr:colOff>
      <xdr:row>13</xdr:row>
      <xdr:rowOff>83344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id="{02945B71-3316-4CD9-B7F2-A5F5A0A7CBA0}"/>
            </a:ext>
          </a:extLst>
        </xdr:cNvPr>
        <xdr:cNvCxnSpPr/>
      </xdr:nvCxnSpPr>
      <xdr:spPr>
        <a:xfrm>
          <a:off x="12979718" y="2685574"/>
          <a:ext cx="712947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559592</xdr:colOff>
      <xdr:row>11</xdr:row>
      <xdr:rowOff>166686</xdr:rowOff>
    </xdr:from>
    <xdr:to>
      <xdr:col>14</xdr:col>
      <xdr:colOff>559592</xdr:colOff>
      <xdr:row>13</xdr:row>
      <xdr:rowOff>83342</xdr:rowOff>
    </xdr:to>
    <xdr:cxnSp macro="">
      <xdr:nvCxnSpPr>
        <xdr:cNvPr id="234" name="Straight Arrow Connector 233">
          <a:extLst>
            <a:ext uri="{FF2B5EF4-FFF2-40B4-BE49-F238E27FC236}">
              <a16:creationId xmlns:a16="http://schemas.microsoft.com/office/drawing/2014/main" id="{CF70CF2D-701B-4040-B9DB-8F0E1635B290}"/>
            </a:ext>
          </a:extLst>
        </xdr:cNvPr>
        <xdr:cNvCxnSpPr/>
      </xdr:nvCxnSpPr>
      <xdr:spPr>
        <a:xfrm>
          <a:off x="12991622" y="2403156"/>
          <a:ext cx="0" cy="28241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223837</xdr:colOff>
      <xdr:row>11</xdr:row>
      <xdr:rowOff>152399</xdr:rowOff>
    </xdr:from>
    <xdr:to>
      <xdr:col>15</xdr:col>
      <xdr:colOff>223837</xdr:colOff>
      <xdr:row>13</xdr:row>
      <xdr:rowOff>69055</xdr:rowOff>
    </xdr:to>
    <xdr:cxnSp macro="">
      <xdr:nvCxnSpPr>
        <xdr:cNvPr id="235" name="Straight Arrow Connector 234">
          <a:extLst>
            <a:ext uri="{FF2B5EF4-FFF2-40B4-BE49-F238E27FC236}">
              <a16:creationId xmlns:a16="http://schemas.microsoft.com/office/drawing/2014/main" id="{E822FBFF-4DDD-4771-8BCC-B9ACF1C93B7A}"/>
            </a:ext>
          </a:extLst>
        </xdr:cNvPr>
        <xdr:cNvCxnSpPr/>
      </xdr:nvCxnSpPr>
      <xdr:spPr>
        <a:xfrm>
          <a:off x="13356907" y="2388869"/>
          <a:ext cx="0" cy="28241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554831</xdr:colOff>
      <xdr:row>11</xdr:row>
      <xdr:rowOff>173830</xdr:rowOff>
    </xdr:from>
    <xdr:to>
      <xdr:col>15</xdr:col>
      <xdr:colOff>554831</xdr:colOff>
      <xdr:row>13</xdr:row>
      <xdr:rowOff>90486</xdr:rowOff>
    </xdr:to>
    <xdr:cxnSp macro="">
      <xdr:nvCxnSpPr>
        <xdr:cNvPr id="236" name="Straight Arrow Connector 235">
          <a:extLst>
            <a:ext uri="{FF2B5EF4-FFF2-40B4-BE49-F238E27FC236}">
              <a16:creationId xmlns:a16="http://schemas.microsoft.com/office/drawing/2014/main" id="{0CC5314D-8256-432F-8A69-A9AC00F9A8FB}"/>
            </a:ext>
          </a:extLst>
        </xdr:cNvPr>
        <xdr:cNvCxnSpPr/>
      </xdr:nvCxnSpPr>
      <xdr:spPr>
        <a:xfrm>
          <a:off x="13687901" y="2410300"/>
          <a:ext cx="0" cy="28241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404812</xdr:colOff>
      <xdr:row>10</xdr:row>
      <xdr:rowOff>71439</xdr:rowOff>
    </xdr:from>
    <xdr:to>
      <xdr:col>15</xdr:col>
      <xdr:colOff>137217</xdr:colOff>
      <xdr:row>11</xdr:row>
      <xdr:rowOff>165719</xdr:rowOff>
    </xdr:to>
    <xdr:grpSp>
      <xdr:nvGrpSpPr>
        <xdr:cNvPr id="237" name="Group 236">
          <a:extLst>
            <a:ext uri="{FF2B5EF4-FFF2-40B4-BE49-F238E27FC236}">
              <a16:creationId xmlns:a16="http://schemas.microsoft.com/office/drawing/2014/main" id="{01FFC9F4-17E2-456F-958C-7571046EE4F4}"/>
            </a:ext>
          </a:extLst>
        </xdr:cNvPr>
        <xdr:cNvGrpSpPr/>
      </xdr:nvGrpSpPr>
      <xdr:grpSpPr>
        <a:xfrm>
          <a:off x="9689923" y="2131661"/>
          <a:ext cx="339183" cy="277725"/>
          <a:chOff x="1304924" y="1639958"/>
          <a:chExt cx="375342" cy="291271"/>
        </a:xfrm>
      </xdr:grpSpPr>
      <xdr:sp macro="" textlink="">
        <xdr:nvSpPr>
          <xdr:cNvPr id="238" name="Hexagon 237">
            <a:extLst>
              <a:ext uri="{FF2B5EF4-FFF2-40B4-BE49-F238E27FC236}">
                <a16:creationId xmlns:a16="http://schemas.microsoft.com/office/drawing/2014/main" id="{FD78E976-A353-D5C1-6520-9BBA50B60DC2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9" name="TextBox 238">
            <a:extLst>
              <a:ext uri="{FF2B5EF4-FFF2-40B4-BE49-F238E27FC236}">
                <a16:creationId xmlns:a16="http://schemas.microsoft.com/office/drawing/2014/main" id="{71B38823-89EC-ADE9-96D1-566C6D18F5E3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34</a:t>
            </a:r>
          </a:p>
        </xdr:txBody>
      </xdr:sp>
    </xdr:grpSp>
    <xdr:clientData/>
  </xdr:twoCellAnchor>
  <xdr:twoCellAnchor>
    <xdr:from>
      <xdr:col>15</xdr:col>
      <xdr:colOff>69056</xdr:colOff>
      <xdr:row>10</xdr:row>
      <xdr:rowOff>57151</xdr:rowOff>
    </xdr:from>
    <xdr:to>
      <xdr:col>15</xdr:col>
      <xdr:colOff>444398</xdr:colOff>
      <xdr:row>11</xdr:row>
      <xdr:rowOff>151431</xdr:rowOff>
    </xdr:to>
    <xdr:grpSp>
      <xdr:nvGrpSpPr>
        <xdr:cNvPr id="240" name="Group 239">
          <a:extLst>
            <a:ext uri="{FF2B5EF4-FFF2-40B4-BE49-F238E27FC236}">
              <a16:creationId xmlns:a16="http://schemas.microsoft.com/office/drawing/2014/main" id="{4B06022B-1558-47DE-947F-4A936D148EE0}"/>
            </a:ext>
          </a:extLst>
        </xdr:cNvPr>
        <xdr:cNvGrpSpPr/>
      </xdr:nvGrpSpPr>
      <xdr:grpSpPr>
        <a:xfrm>
          <a:off x="9960945" y="2117373"/>
          <a:ext cx="375342" cy="277725"/>
          <a:chOff x="1304924" y="1639958"/>
          <a:chExt cx="375342" cy="291271"/>
        </a:xfrm>
      </xdr:grpSpPr>
      <xdr:sp macro="" textlink="">
        <xdr:nvSpPr>
          <xdr:cNvPr id="241" name="Hexagon 240">
            <a:extLst>
              <a:ext uri="{FF2B5EF4-FFF2-40B4-BE49-F238E27FC236}">
                <a16:creationId xmlns:a16="http://schemas.microsoft.com/office/drawing/2014/main" id="{EFBB99FF-D376-CCC9-B258-BA54073F82AE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2" name="TextBox 241">
            <a:extLst>
              <a:ext uri="{FF2B5EF4-FFF2-40B4-BE49-F238E27FC236}">
                <a16:creationId xmlns:a16="http://schemas.microsoft.com/office/drawing/2014/main" id="{EE10E7A4-1916-F74C-53DD-5AE4FC46FAD8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35</a:t>
            </a:r>
          </a:p>
        </xdr:txBody>
      </xdr:sp>
    </xdr:grpSp>
    <xdr:clientData/>
  </xdr:twoCellAnchor>
  <xdr:twoCellAnchor>
    <xdr:from>
      <xdr:col>15</xdr:col>
      <xdr:colOff>400050</xdr:colOff>
      <xdr:row>10</xdr:row>
      <xdr:rowOff>66676</xdr:rowOff>
    </xdr:from>
    <xdr:to>
      <xdr:col>16</xdr:col>
      <xdr:colOff>1485</xdr:colOff>
      <xdr:row>11</xdr:row>
      <xdr:rowOff>160956</xdr:rowOff>
    </xdr:to>
    <xdr:grpSp>
      <xdr:nvGrpSpPr>
        <xdr:cNvPr id="243" name="Group 242">
          <a:extLst>
            <a:ext uri="{FF2B5EF4-FFF2-40B4-BE49-F238E27FC236}">
              <a16:creationId xmlns:a16="http://schemas.microsoft.com/office/drawing/2014/main" id="{19F597A9-9BB0-4DC9-8AB8-01C3564C15A5}"/>
            </a:ext>
          </a:extLst>
        </xdr:cNvPr>
        <xdr:cNvGrpSpPr/>
      </xdr:nvGrpSpPr>
      <xdr:grpSpPr>
        <a:xfrm>
          <a:off x="10291939" y="2126898"/>
          <a:ext cx="208213" cy="277725"/>
          <a:chOff x="1304924" y="1639958"/>
          <a:chExt cx="375342" cy="291271"/>
        </a:xfrm>
      </xdr:grpSpPr>
      <xdr:sp macro="" textlink="">
        <xdr:nvSpPr>
          <xdr:cNvPr id="244" name="Hexagon 243">
            <a:extLst>
              <a:ext uri="{FF2B5EF4-FFF2-40B4-BE49-F238E27FC236}">
                <a16:creationId xmlns:a16="http://schemas.microsoft.com/office/drawing/2014/main" id="{6B8AE8CF-11EE-6700-D8B7-9DF8341C1A59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5" name="TextBox 244">
            <a:extLst>
              <a:ext uri="{FF2B5EF4-FFF2-40B4-BE49-F238E27FC236}">
                <a16:creationId xmlns:a16="http://schemas.microsoft.com/office/drawing/2014/main" id="{01C1C35B-15F4-7C95-EAB4-827A8DDA9ED7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36</a:t>
            </a:r>
          </a:p>
        </xdr:txBody>
      </xdr:sp>
    </xdr:grpSp>
    <xdr:clientData/>
  </xdr:twoCellAnchor>
  <xdr:twoCellAnchor>
    <xdr:from>
      <xdr:col>19</xdr:col>
      <xdr:colOff>476250</xdr:colOff>
      <xdr:row>17</xdr:row>
      <xdr:rowOff>11906</xdr:rowOff>
    </xdr:from>
    <xdr:to>
      <xdr:col>19</xdr:col>
      <xdr:colOff>476250</xdr:colOff>
      <xdr:row>18</xdr:row>
      <xdr:rowOff>119062</xdr:rowOff>
    </xdr:to>
    <xdr:cxnSp macro="">
      <xdr:nvCxnSpPr>
        <xdr:cNvPr id="246" name="Straight Arrow Connector 245">
          <a:extLst>
            <a:ext uri="{FF2B5EF4-FFF2-40B4-BE49-F238E27FC236}">
              <a16:creationId xmlns:a16="http://schemas.microsoft.com/office/drawing/2014/main" id="{F95756FB-441A-4593-A99C-FA0BE071E318}"/>
            </a:ext>
          </a:extLst>
        </xdr:cNvPr>
        <xdr:cNvCxnSpPr/>
      </xdr:nvCxnSpPr>
      <xdr:spPr>
        <a:xfrm>
          <a:off x="16501110" y="3345656"/>
          <a:ext cx="0" cy="290036"/>
        </a:xfrm>
        <a:prstGeom prst="straightConnector1">
          <a:avLst/>
        </a:prstGeom>
        <a:ln w="127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321469</xdr:colOff>
      <xdr:row>18</xdr:row>
      <xdr:rowOff>130969</xdr:rowOff>
    </xdr:from>
    <xdr:to>
      <xdr:col>20</xdr:col>
      <xdr:colOff>77686</xdr:colOff>
      <xdr:row>20</xdr:row>
      <xdr:rowOff>34749</xdr:rowOff>
    </xdr:to>
    <xdr:grpSp>
      <xdr:nvGrpSpPr>
        <xdr:cNvPr id="247" name="Group 246">
          <a:extLst>
            <a:ext uri="{FF2B5EF4-FFF2-40B4-BE49-F238E27FC236}">
              <a16:creationId xmlns:a16="http://schemas.microsoft.com/office/drawing/2014/main" id="{9A6BAE23-0F99-41B2-97A6-EEB08DBF9634}"/>
            </a:ext>
          </a:extLst>
        </xdr:cNvPr>
        <xdr:cNvGrpSpPr/>
      </xdr:nvGrpSpPr>
      <xdr:grpSpPr>
        <a:xfrm>
          <a:off x="12640469" y="3658747"/>
          <a:ext cx="362995" cy="270669"/>
          <a:chOff x="1304924" y="1639958"/>
          <a:chExt cx="375342" cy="291271"/>
        </a:xfrm>
      </xdr:grpSpPr>
      <xdr:sp macro="" textlink="">
        <xdr:nvSpPr>
          <xdr:cNvPr id="248" name="Hexagon 247">
            <a:extLst>
              <a:ext uri="{FF2B5EF4-FFF2-40B4-BE49-F238E27FC236}">
                <a16:creationId xmlns:a16="http://schemas.microsoft.com/office/drawing/2014/main" id="{1BC95BDB-E464-DA8E-D691-EA94AF5416E0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CAAB8D9F-FC64-6EE3-97E8-C7458CCA8793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37</a:t>
            </a:r>
          </a:p>
        </xdr:txBody>
      </xdr:sp>
    </xdr:grpSp>
    <xdr:clientData/>
  </xdr:twoCellAnchor>
  <xdr:twoCellAnchor>
    <xdr:from>
      <xdr:col>3</xdr:col>
      <xdr:colOff>690563</xdr:colOff>
      <xdr:row>6</xdr:row>
      <xdr:rowOff>145254</xdr:rowOff>
    </xdr:from>
    <xdr:to>
      <xdr:col>3</xdr:col>
      <xdr:colOff>690563</xdr:colOff>
      <xdr:row>10</xdr:row>
      <xdr:rowOff>61911</xdr:rowOff>
    </xdr:to>
    <xdr:cxnSp macro="">
      <xdr:nvCxnSpPr>
        <xdr:cNvPr id="250" name="Straight Arrow Connector 249">
          <a:extLst>
            <a:ext uri="{FF2B5EF4-FFF2-40B4-BE49-F238E27FC236}">
              <a16:creationId xmlns:a16="http://schemas.microsoft.com/office/drawing/2014/main" id="{F20BDC17-7167-4211-ADF4-731DCA6FA412}"/>
            </a:ext>
          </a:extLst>
        </xdr:cNvPr>
        <xdr:cNvCxnSpPr/>
      </xdr:nvCxnSpPr>
      <xdr:spPr>
        <a:xfrm>
          <a:off x="3898583" y="1467324"/>
          <a:ext cx="0" cy="64817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345280</xdr:colOff>
      <xdr:row>5</xdr:row>
      <xdr:rowOff>38097</xdr:rowOff>
    </xdr:from>
    <xdr:to>
      <xdr:col>3</xdr:col>
      <xdr:colOff>345280</xdr:colOff>
      <xdr:row>6</xdr:row>
      <xdr:rowOff>145253</xdr:rowOff>
    </xdr:to>
    <xdr:cxnSp macro="">
      <xdr:nvCxnSpPr>
        <xdr:cNvPr id="251" name="Straight Arrow Connector 250">
          <a:extLst>
            <a:ext uri="{FF2B5EF4-FFF2-40B4-BE49-F238E27FC236}">
              <a16:creationId xmlns:a16="http://schemas.microsoft.com/office/drawing/2014/main" id="{4951CD72-A613-4970-8C9F-6D9C676DA63E}"/>
            </a:ext>
          </a:extLst>
        </xdr:cNvPr>
        <xdr:cNvCxnSpPr/>
      </xdr:nvCxnSpPr>
      <xdr:spPr>
        <a:xfrm>
          <a:off x="3553300" y="1177287"/>
          <a:ext cx="0" cy="29003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673894</xdr:colOff>
      <xdr:row>5</xdr:row>
      <xdr:rowOff>33334</xdr:rowOff>
    </xdr:from>
    <xdr:to>
      <xdr:col>3</xdr:col>
      <xdr:colOff>673894</xdr:colOff>
      <xdr:row>6</xdr:row>
      <xdr:rowOff>140490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DB162571-1DA9-4AC2-8DCF-F72D9B5D8AD8}"/>
            </a:ext>
          </a:extLst>
        </xdr:cNvPr>
        <xdr:cNvCxnSpPr/>
      </xdr:nvCxnSpPr>
      <xdr:spPr>
        <a:xfrm>
          <a:off x="3881914" y="1172524"/>
          <a:ext cx="0" cy="29003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</xdr:row>
      <xdr:rowOff>133350</xdr:rowOff>
    </xdr:from>
    <xdr:to>
      <xdr:col>3</xdr:col>
      <xdr:colOff>565842</xdr:colOff>
      <xdr:row>5</xdr:row>
      <xdr:rowOff>37130</xdr:rowOff>
    </xdr:to>
    <xdr:grpSp>
      <xdr:nvGrpSpPr>
        <xdr:cNvPr id="253" name="Group 252">
          <a:extLst>
            <a:ext uri="{FF2B5EF4-FFF2-40B4-BE49-F238E27FC236}">
              <a16:creationId xmlns:a16="http://schemas.microsoft.com/office/drawing/2014/main" id="{909486AE-6E05-4389-B50C-ECE549EEC873}"/>
            </a:ext>
          </a:extLst>
        </xdr:cNvPr>
        <xdr:cNvGrpSpPr/>
      </xdr:nvGrpSpPr>
      <xdr:grpSpPr>
        <a:xfrm>
          <a:off x="2603500" y="909461"/>
          <a:ext cx="375342" cy="270669"/>
          <a:chOff x="1304924" y="1639958"/>
          <a:chExt cx="375342" cy="291271"/>
        </a:xfrm>
      </xdr:grpSpPr>
      <xdr:sp macro="" textlink="">
        <xdr:nvSpPr>
          <xdr:cNvPr id="254" name="Hexagon 253">
            <a:extLst>
              <a:ext uri="{FF2B5EF4-FFF2-40B4-BE49-F238E27FC236}">
                <a16:creationId xmlns:a16="http://schemas.microsoft.com/office/drawing/2014/main" id="{431FAE19-376B-84FE-01D7-FCCA3C27489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23385496-100B-D7A4-7C91-D8E4134ACE7A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38</a:t>
            </a:r>
          </a:p>
        </xdr:txBody>
      </xdr:sp>
    </xdr:grpSp>
    <xdr:clientData/>
  </xdr:twoCellAnchor>
  <xdr:twoCellAnchor>
    <xdr:from>
      <xdr:col>3</xdr:col>
      <xdr:colOff>519113</xdr:colOff>
      <xdr:row>3</xdr:row>
      <xdr:rowOff>130968</xdr:rowOff>
    </xdr:from>
    <xdr:to>
      <xdr:col>4</xdr:col>
      <xdr:colOff>952</xdr:colOff>
      <xdr:row>5</xdr:row>
      <xdr:rowOff>20462</xdr:rowOff>
    </xdr:to>
    <xdr:grpSp>
      <xdr:nvGrpSpPr>
        <xdr:cNvPr id="256" name="Group 255">
          <a:extLst>
            <a:ext uri="{FF2B5EF4-FFF2-40B4-BE49-F238E27FC236}">
              <a16:creationId xmlns:a16="http://schemas.microsoft.com/office/drawing/2014/main" id="{BECCFED6-7B9C-4493-8202-6585CBC2A9BA}"/>
            </a:ext>
          </a:extLst>
        </xdr:cNvPr>
        <xdr:cNvGrpSpPr/>
      </xdr:nvGrpSpPr>
      <xdr:grpSpPr>
        <a:xfrm>
          <a:off x="2932113" y="907079"/>
          <a:ext cx="286172" cy="256383"/>
          <a:chOff x="1304924" y="1639958"/>
          <a:chExt cx="375342" cy="291271"/>
        </a:xfrm>
      </xdr:grpSpPr>
      <xdr:sp macro="" textlink="">
        <xdr:nvSpPr>
          <xdr:cNvPr id="257" name="Hexagon 256">
            <a:extLst>
              <a:ext uri="{FF2B5EF4-FFF2-40B4-BE49-F238E27FC236}">
                <a16:creationId xmlns:a16="http://schemas.microsoft.com/office/drawing/2014/main" id="{BF397088-B632-98B6-F999-82891AD46119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9A1EDA2A-CB9B-A42E-E6D0-3D1A0BA772A6}"/>
              </a:ext>
            </a:extLst>
          </xdr:cNvPr>
          <xdr:cNvSpPr txBox="1"/>
        </xdr:nvSpPr>
        <xdr:spPr>
          <a:xfrm>
            <a:off x="1304924" y="1659340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39</a:t>
            </a:r>
          </a:p>
        </xdr:txBody>
      </xdr:sp>
    </xdr:grpSp>
    <xdr:clientData/>
  </xdr:twoCellAnchor>
  <xdr:twoCellAnchor>
    <xdr:from>
      <xdr:col>3</xdr:col>
      <xdr:colOff>345281</xdr:colOff>
      <xdr:row>6</xdr:row>
      <xdr:rowOff>142875</xdr:rowOff>
    </xdr:from>
    <xdr:to>
      <xdr:col>4</xdr:col>
      <xdr:colOff>71437</xdr:colOff>
      <xdr:row>6</xdr:row>
      <xdr:rowOff>142875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C891287E-FE93-43B3-BF2A-802B1713490D}"/>
            </a:ext>
          </a:extLst>
        </xdr:cNvPr>
        <xdr:cNvCxnSpPr/>
      </xdr:nvCxnSpPr>
      <xdr:spPr>
        <a:xfrm>
          <a:off x="3553301" y="1464945"/>
          <a:ext cx="75104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639603</xdr:colOff>
      <xdr:row>3</xdr:row>
      <xdr:rowOff>130969</xdr:rowOff>
    </xdr:from>
    <xdr:to>
      <xdr:col>4</xdr:col>
      <xdr:colOff>280091</xdr:colOff>
      <xdr:row>5</xdr:row>
      <xdr:rowOff>34749</xdr:rowOff>
    </xdr:to>
    <xdr:grpSp>
      <xdr:nvGrpSpPr>
        <xdr:cNvPr id="260" name="Group 259">
          <a:extLst>
            <a:ext uri="{FF2B5EF4-FFF2-40B4-BE49-F238E27FC236}">
              <a16:creationId xmlns:a16="http://schemas.microsoft.com/office/drawing/2014/main" id="{2F7CDC5D-BC65-4A0A-BE80-34AA16AC0742}"/>
            </a:ext>
          </a:extLst>
        </xdr:cNvPr>
        <xdr:cNvGrpSpPr/>
      </xdr:nvGrpSpPr>
      <xdr:grpSpPr>
        <a:xfrm>
          <a:off x="3052603" y="907080"/>
          <a:ext cx="444821" cy="270669"/>
          <a:chOff x="1614485" y="1639960"/>
          <a:chExt cx="375342" cy="291271"/>
        </a:xfrm>
      </xdr:grpSpPr>
      <xdr:sp macro="" textlink="">
        <xdr:nvSpPr>
          <xdr:cNvPr id="261" name="Hexagon 260">
            <a:extLst>
              <a:ext uri="{FF2B5EF4-FFF2-40B4-BE49-F238E27FC236}">
                <a16:creationId xmlns:a16="http://schemas.microsoft.com/office/drawing/2014/main" id="{8A78D231-6ED8-DA73-94F2-8E748921BE2C}"/>
              </a:ext>
            </a:extLst>
          </xdr:cNvPr>
          <xdr:cNvSpPr/>
        </xdr:nvSpPr>
        <xdr:spPr>
          <a:xfrm rot="5400000">
            <a:off x="1629812" y="1647552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B4D69DFE-83BB-9D32-1C4E-7308F2AFE258}"/>
              </a:ext>
            </a:extLst>
          </xdr:cNvPr>
          <xdr:cNvSpPr txBox="1"/>
        </xdr:nvSpPr>
        <xdr:spPr>
          <a:xfrm>
            <a:off x="1614485" y="1671518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40</a:t>
            </a:r>
          </a:p>
        </xdr:txBody>
      </xdr:sp>
    </xdr:grpSp>
    <xdr:clientData/>
  </xdr:twoCellAnchor>
  <xdr:twoCellAnchor>
    <xdr:from>
      <xdr:col>4</xdr:col>
      <xdr:colOff>71437</xdr:colOff>
      <xdr:row>5</xdr:row>
      <xdr:rowOff>59531</xdr:rowOff>
    </xdr:from>
    <xdr:to>
      <xdr:col>4</xdr:col>
      <xdr:colOff>71437</xdr:colOff>
      <xdr:row>6</xdr:row>
      <xdr:rowOff>166687</xdr:rowOff>
    </xdr:to>
    <xdr:cxnSp macro="">
      <xdr:nvCxnSpPr>
        <xdr:cNvPr id="263" name="Straight Arrow Connector 262">
          <a:extLst>
            <a:ext uri="{FF2B5EF4-FFF2-40B4-BE49-F238E27FC236}">
              <a16:creationId xmlns:a16="http://schemas.microsoft.com/office/drawing/2014/main" id="{E6374489-3474-4015-A8D2-DC1E4737DE71}"/>
            </a:ext>
          </a:extLst>
        </xdr:cNvPr>
        <xdr:cNvCxnSpPr/>
      </xdr:nvCxnSpPr>
      <xdr:spPr>
        <a:xfrm>
          <a:off x="4304347" y="1198721"/>
          <a:ext cx="0" cy="29003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242889</xdr:colOff>
      <xdr:row>17</xdr:row>
      <xdr:rowOff>23813</xdr:rowOff>
    </xdr:from>
    <xdr:to>
      <xdr:col>15</xdr:col>
      <xdr:colOff>242889</xdr:colOff>
      <xdr:row>19</xdr:row>
      <xdr:rowOff>23812</xdr:rowOff>
    </xdr:to>
    <xdr:cxnSp macro="">
      <xdr:nvCxnSpPr>
        <xdr:cNvPr id="264" name="Straight Arrow Connector 263">
          <a:extLst>
            <a:ext uri="{FF2B5EF4-FFF2-40B4-BE49-F238E27FC236}">
              <a16:creationId xmlns:a16="http://schemas.microsoft.com/office/drawing/2014/main" id="{D0CDE39F-7981-4F2B-BE50-0E7C9DD7E2F1}"/>
            </a:ext>
          </a:extLst>
        </xdr:cNvPr>
        <xdr:cNvCxnSpPr/>
      </xdr:nvCxnSpPr>
      <xdr:spPr>
        <a:xfrm>
          <a:off x="13375959" y="3357563"/>
          <a:ext cx="0" cy="365759"/>
        </a:xfrm>
        <a:prstGeom prst="straightConnector1">
          <a:avLst/>
        </a:prstGeom>
        <a:ln w="127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83344</xdr:colOff>
      <xdr:row>19</xdr:row>
      <xdr:rowOff>7145</xdr:rowOff>
    </xdr:from>
    <xdr:to>
      <xdr:col>15</xdr:col>
      <xdr:colOff>458686</xdr:colOff>
      <xdr:row>20</xdr:row>
      <xdr:rowOff>101425</xdr:rowOff>
    </xdr:to>
    <xdr:grpSp>
      <xdr:nvGrpSpPr>
        <xdr:cNvPr id="265" name="Group 264">
          <a:extLst>
            <a:ext uri="{FF2B5EF4-FFF2-40B4-BE49-F238E27FC236}">
              <a16:creationId xmlns:a16="http://schemas.microsoft.com/office/drawing/2014/main" id="{4B3CC256-5368-4F7C-AB61-90EB0A8D2466}"/>
            </a:ext>
          </a:extLst>
        </xdr:cNvPr>
        <xdr:cNvGrpSpPr/>
      </xdr:nvGrpSpPr>
      <xdr:grpSpPr>
        <a:xfrm>
          <a:off x="9975233" y="3718367"/>
          <a:ext cx="375342" cy="277725"/>
          <a:chOff x="1304924" y="1639958"/>
          <a:chExt cx="375342" cy="291271"/>
        </a:xfrm>
      </xdr:grpSpPr>
      <xdr:sp macro="" textlink="">
        <xdr:nvSpPr>
          <xdr:cNvPr id="266" name="Hexagon 265">
            <a:extLst>
              <a:ext uri="{FF2B5EF4-FFF2-40B4-BE49-F238E27FC236}">
                <a16:creationId xmlns:a16="http://schemas.microsoft.com/office/drawing/2014/main" id="{926F2729-84FD-6D5C-37D7-FECDAD089BA0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D0C6037A-0D82-7408-778C-F9A168DB837A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41</a:t>
            </a:r>
          </a:p>
        </xdr:txBody>
      </xdr:sp>
    </xdr:grpSp>
    <xdr:clientData/>
  </xdr:twoCellAnchor>
  <xdr:twoCellAnchor>
    <xdr:from>
      <xdr:col>25</xdr:col>
      <xdr:colOff>166689</xdr:colOff>
      <xdr:row>18</xdr:row>
      <xdr:rowOff>166688</xdr:rowOff>
    </xdr:from>
    <xdr:to>
      <xdr:col>25</xdr:col>
      <xdr:colOff>773907</xdr:colOff>
      <xdr:row>23</xdr:row>
      <xdr:rowOff>11906</xdr:rowOff>
    </xdr:to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0A8E7906-06CE-4532-A0B1-6D388D92CA32}"/>
            </a:ext>
          </a:extLst>
        </xdr:cNvPr>
        <xdr:cNvSpPr txBox="1"/>
      </xdr:nvSpPr>
      <xdr:spPr>
        <a:xfrm>
          <a:off x="21022629" y="3683318"/>
          <a:ext cx="607218" cy="7596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Strong/ Weak HX-1</a:t>
          </a:r>
        </a:p>
      </xdr:txBody>
    </xdr:sp>
    <xdr:clientData/>
  </xdr:twoCellAnchor>
  <xdr:twoCellAnchor>
    <xdr:from>
      <xdr:col>23</xdr:col>
      <xdr:colOff>95250</xdr:colOff>
      <xdr:row>10</xdr:row>
      <xdr:rowOff>0</xdr:rowOff>
    </xdr:from>
    <xdr:to>
      <xdr:col>23</xdr:col>
      <xdr:colOff>702469</xdr:colOff>
      <xdr:row>13</xdr:row>
      <xdr:rowOff>178592</xdr:rowOff>
    </xdr:to>
    <xdr:sp macro="" textlink="">
      <xdr:nvSpPr>
        <xdr:cNvPr id="269" name="Rectangle 268">
          <a:extLst>
            <a:ext uri="{FF2B5EF4-FFF2-40B4-BE49-F238E27FC236}">
              <a16:creationId xmlns:a16="http://schemas.microsoft.com/office/drawing/2014/main" id="{AFE0FC89-29A1-4403-B180-8BDC5449E44C}"/>
            </a:ext>
          </a:extLst>
        </xdr:cNvPr>
        <xdr:cNvSpPr/>
      </xdr:nvSpPr>
      <xdr:spPr>
        <a:xfrm>
          <a:off x="19244310" y="2053590"/>
          <a:ext cx="607219" cy="727232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23813</xdr:colOff>
      <xdr:row>10</xdr:row>
      <xdr:rowOff>-1</xdr:rowOff>
    </xdr:from>
    <xdr:to>
      <xdr:col>23</xdr:col>
      <xdr:colOff>773906</xdr:colOff>
      <xdr:row>14</xdr:row>
      <xdr:rowOff>35717</xdr:rowOff>
    </xdr:to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7A1CDAE8-EA95-4937-9315-AA6EFB1C9718}"/>
            </a:ext>
          </a:extLst>
        </xdr:cNvPr>
        <xdr:cNvSpPr txBox="1"/>
      </xdr:nvSpPr>
      <xdr:spPr>
        <a:xfrm>
          <a:off x="19172873" y="2053589"/>
          <a:ext cx="750093" cy="7672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Supt/      Cold Water HX-4</a:t>
          </a:r>
        </a:p>
      </xdr:txBody>
    </xdr:sp>
    <xdr:clientData/>
  </xdr:twoCellAnchor>
  <xdr:twoCellAnchor>
    <xdr:from>
      <xdr:col>23</xdr:col>
      <xdr:colOff>559593</xdr:colOff>
      <xdr:row>5</xdr:row>
      <xdr:rowOff>71436</xdr:rowOff>
    </xdr:from>
    <xdr:to>
      <xdr:col>24</xdr:col>
      <xdr:colOff>321468</xdr:colOff>
      <xdr:row>5</xdr:row>
      <xdr:rowOff>71436</xdr:rowOff>
    </xdr:to>
    <xdr:cxnSp macro="">
      <xdr:nvCxnSpPr>
        <xdr:cNvPr id="271" name="Straight Connector 270">
          <a:extLst>
            <a:ext uri="{FF2B5EF4-FFF2-40B4-BE49-F238E27FC236}">
              <a16:creationId xmlns:a16="http://schemas.microsoft.com/office/drawing/2014/main" id="{9EB8DBC8-4193-4DBE-82F6-1785CA53108B}"/>
            </a:ext>
          </a:extLst>
        </xdr:cNvPr>
        <xdr:cNvCxnSpPr/>
      </xdr:nvCxnSpPr>
      <xdr:spPr>
        <a:xfrm>
          <a:off x="19708653" y="1210626"/>
          <a:ext cx="630555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297657</xdr:colOff>
      <xdr:row>5</xdr:row>
      <xdr:rowOff>59531</xdr:rowOff>
    </xdr:from>
    <xdr:to>
      <xdr:col>24</xdr:col>
      <xdr:colOff>297657</xdr:colOff>
      <xdr:row>10</xdr:row>
      <xdr:rowOff>47625</xdr:rowOff>
    </xdr:to>
    <xdr:cxnSp macro="">
      <xdr:nvCxnSpPr>
        <xdr:cNvPr id="272" name="Straight Connector 271">
          <a:extLst>
            <a:ext uri="{FF2B5EF4-FFF2-40B4-BE49-F238E27FC236}">
              <a16:creationId xmlns:a16="http://schemas.microsoft.com/office/drawing/2014/main" id="{9A65F96D-3C66-437A-9573-DE10BB7643FA}"/>
            </a:ext>
          </a:extLst>
        </xdr:cNvPr>
        <xdr:cNvCxnSpPr/>
      </xdr:nvCxnSpPr>
      <xdr:spPr>
        <a:xfrm>
          <a:off x="20315397" y="1198721"/>
          <a:ext cx="0" cy="902494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702469</xdr:colOff>
      <xdr:row>10</xdr:row>
      <xdr:rowOff>35717</xdr:rowOff>
    </xdr:from>
    <xdr:to>
      <xdr:col>24</xdr:col>
      <xdr:colOff>297656</xdr:colOff>
      <xdr:row>10</xdr:row>
      <xdr:rowOff>35717</xdr:rowOff>
    </xdr:to>
    <xdr:cxnSp macro="">
      <xdr:nvCxnSpPr>
        <xdr:cNvPr id="273" name="Straight Arrow Connector 272">
          <a:extLst>
            <a:ext uri="{FF2B5EF4-FFF2-40B4-BE49-F238E27FC236}">
              <a16:creationId xmlns:a16="http://schemas.microsoft.com/office/drawing/2014/main" id="{F9E88E16-16E1-4EB5-94AE-4031148E6D4A}"/>
            </a:ext>
          </a:extLst>
        </xdr:cNvPr>
        <xdr:cNvCxnSpPr/>
      </xdr:nvCxnSpPr>
      <xdr:spPr>
        <a:xfrm flipH="1">
          <a:off x="19851529" y="2089307"/>
          <a:ext cx="463867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166687</xdr:colOff>
      <xdr:row>4</xdr:row>
      <xdr:rowOff>35719</xdr:rowOff>
    </xdr:from>
    <xdr:to>
      <xdr:col>22</xdr:col>
      <xdr:colOff>491229</xdr:colOff>
      <xdr:row>6</xdr:row>
      <xdr:rowOff>179387</xdr:rowOff>
    </xdr:to>
    <xdr:grpSp>
      <xdr:nvGrpSpPr>
        <xdr:cNvPr id="274" name="Group 273">
          <a:extLst>
            <a:ext uri="{FF2B5EF4-FFF2-40B4-BE49-F238E27FC236}">
              <a16:creationId xmlns:a16="http://schemas.microsoft.com/office/drawing/2014/main" id="{95C0EBB0-1E32-455E-8412-95CE74D7F4C3}"/>
            </a:ext>
          </a:extLst>
        </xdr:cNvPr>
        <xdr:cNvGrpSpPr/>
      </xdr:nvGrpSpPr>
      <xdr:grpSpPr>
        <a:xfrm>
          <a:off x="14306020" y="995275"/>
          <a:ext cx="324542" cy="510556"/>
          <a:chOff x="1304924" y="1639958"/>
          <a:chExt cx="324542" cy="534227"/>
        </a:xfrm>
      </xdr:grpSpPr>
      <xdr:sp macro="" textlink="">
        <xdr:nvSpPr>
          <xdr:cNvPr id="275" name="Hexagon 274">
            <a:extLst>
              <a:ext uri="{FF2B5EF4-FFF2-40B4-BE49-F238E27FC236}">
                <a16:creationId xmlns:a16="http://schemas.microsoft.com/office/drawing/2014/main" id="{91800DE4-4013-5C15-F963-ABEA7474298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76" name="Group 275">
            <a:extLst>
              <a:ext uri="{FF2B5EF4-FFF2-40B4-BE49-F238E27FC236}">
                <a16:creationId xmlns:a16="http://schemas.microsoft.com/office/drawing/2014/main" id="{9638C171-9DA7-12E5-DA5C-452A0157747F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277" name="Straight Connector 276">
              <a:extLst>
                <a:ext uri="{FF2B5EF4-FFF2-40B4-BE49-F238E27FC236}">
                  <a16:creationId xmlns:a16="http://schemas.microsoft.com/office/drawing/2014/main" id="{2EE1557F-CFDC-E5F7-0C56-9A102F1D37FC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0DC342BB-AB16-63DA-4761-E8DC44028971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20</a:t>
              </a:r>
            </a:p>
          </xdr:txBody>
        </xdr:sp>
      </xdr:grpSp>
    </xdr:grpSp>
    <xdr:clientData/>
  </xdr:twoCellAnchor>
  <xdr:twoCellAnchor>
    <xdr:from>
      <xdr:col>22</xdr:col>
      <xdr:colOff>511968</xdr:colOff>
      <xdr:row>5</xdr:row>
      <xdr:rowOff>71438</xdr:rowOff>
    </xdr:from>
    <xdr:to>
      <xdr:col>23</xdr:col>
      <xdr:colOff>59531</xdr:colOff>
      <xdr:row>5</xdr:row>
      <xdr:rowOff>71438</xdr:rowOff>
    </xdr:to>
    <xdr:cxnSp macro="">
      <xdr:nvCxnSpPr>
        <xdr:cNvPr id="279" name="Straight Connector 278">
          <a:extLst>
            <a:ext uri="{FF2B5EF4-FFF2-40B4-BE49-F238E27FC236}">
              <a16:creationId xmlns:a16="http://schemas.microsoft.com/office/drawing/2014/main" id="{D67E034F-0DF7-4D04-BF7A-1EFCE0D8B10F}"/>
            </a:ext>
          </a:extLst>
        </xdr:cNvPr>
        <xdr:cNvCxnSpPr/>
      </xdr:nvCxnSpPr>
      <xdr:spPr>
        <a:xfrm>
          <a:off x="18780918" y="1210628"/>
          <a:ext cx="427673" cy="0"/>
        </a:xfrm>
        <a:prstGeom prst="line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511969</xdr:colOff>
      <xdr:row>5</xdr:row>
      <xdr:rowOff>71438</xdr:rowOff>
    </xdr:from>
    <xdr:to>
      <xdr:col>22</xdr:col>
      <xdr:colOff>511969</xdr:colOff>
      <xdr:row>10</xdr:row>
      <xdr:rowOff>47624</xdr:rowOff>
    </xdr:to>
    <xdr:cxnSp macro="">
      <xdr:nvCxnSpPr>
        <xdr:cNvPr id="280" name="Straight Connector 279">
          <a:extLst>
            <a:ext uri="{FF2B5EF4-FFF2-40B4-BE49-F238E27FC236}">
              <a16:creationId xmlns:a16="http://schemas.microsoft.com/office/drawing/2014/main" id="{877BD758-CB4E-48A5-BB87-8A4922F6094D}"/>
            </a:ext>
          </a:extLst>
        </xdr:cNvPr>
        <xdr:cNvCxnSpPr/>
      </xdr:nvCxnSpPr>
      <xdr:spPr>
        <a:xfrm>
          <a:off x="18780919" y="1210628"/>
          <a:ext cx="0" cy="890586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523875</xdr:colOff>
      <xdr:row>10</xdr:row>
      <xdr:rowOff>47625</xdr:rowOff>
    </xdr:from>
    <xdr:to>
      <xdr:col>23</xdr:col>
      <xdr:colOff>95249</xdr:colOff>
      <xdr:row>10</xdr:row>
      <xdr:rowOff>47625</xdr:rowOff>
    </xdr:to>
    <xdr:cxnSp macro="">
      <xdr:nvCxnSpPr>
        <xdr:cNvPr id="281" name="Straight Connector 280">
          <a:extLst>
            <a:ext uri="{FF2B5EF4-FFF2-40B4-BE49-F238E27FC236}">
              <a16:creationId xmlns:a16="http://schemas.microsoft.com/office/drawing/2014/main" id="{C472DB1E-9A63-48F4-A753-A8091301A0BE}"/>
            </a:ext>
          </a:extLst>
        </xdr:cNvPr>
        <xdr:cNvCxnSpPr/>
      </xdr:nvCxnSpPr>
      <xdr:spPr>
        <a:xfrm>
          <a:off x="18792825" y="2101215"/>
          <a:ext cx="451484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136922</xdr:colOff>
      <xdr:row>6</xdr:row>
      <xdr:rowOff>77391</xdr:rowOff>
    </xdr:from>
    <xdr:to>
      <xdr:col>24</xdr:col>
      <xdr:colOff>458390</xdr:colOff>
      <xdr:row>8</xdr:row>
      <xdr:rowOff>5953</xdr:rowOff>
    </xdr:to>
    <xdr:grpSp>
      <xdr:nvGrpSpPr>
        <xdr:cNvPr id="282" name="Group 281">
          <a:extLst>
            <a:ext uri="{FF2B5EF4-FFF2-40B4-BE49-F238E27FC236}">
              <a16:creationId xmlns:a16="http://schemas.microsoft.com/office/drawing/2014/main" id="{69EA08FF-0055-4F5E-8C70-CFA632B6C581}"/>
            </a:ext>
          </a:extLst>
        </xdr:cNvPr>
        <xdr:cNvGrpSpPr/>
      </xdr:nvGrpSpPr>
      <xdr:grpSpPr>
        <a:xfrm rot="5400000">
          <a:off x="15502819" y="1390827"/>
          <a:ext cx="295451" cy="321468"/>
          <a:chOff x="6453188" y="3298031"/>
          <a:chExt cx="309562" cy="321468"/>
        </a:xfrm>
      </xdr:grpSpPr>
      <xdr:sp macro="" textlink="">
        <xdr:nvSpPr>
          <xdr:cNvPr id="283" name="Oval 282">
            <a:extLst>
              <a:ext uri="{FF2B5EF4-FFF2-40B4-BE49-F238E27FC236}">
                <a16:creationId xmlns:a16="http://schemas.microsoft.com/office/drawing/2014/main" id="{9A287919-D588-73B2-837B-8FB78FD1D652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4" name="Isosceles Triangle 283">
            <a:extLst>
              <a:ext uri="{FF2B5EF4-FFF2-40B4-BE49-F238E27FC236}">
                <a16:creationId xmlns:a16="http://schemas.microsoft.com/office/drawing/2014/main" id="{4052BC18-C5FF-85FE-FCFC-E585003B69B8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24</xdr:col>
      <xdr:colOff>202405</xdr:colOff>
      <xdr:row>10</xdr:row>
      <xdr:rowOff>59531</xdr:rowOff>
    </xdr:from>
    <xdr:to>
      <xdr:col>24</xdr:col>
      <xdr:colOff>546790</xdr:colOff>
      <xdr:row>12</xdr:row>
      <xdr:rowOff>181008</xdr:rowOff>
    </xdr:to>
    <xdr:grpSp>
      <xdr:nvGrpSpPr>
        <xdr:cNvPr id="285" name="Group 284">
          <a:extLst>
            <a:ext uri="{FF2B5EF4-FFF2-40B4-BE49-F238E27FC236}">
              <a16:creationId xmlns:a16="http://schemas.microsoft.com/office/drawing/2014/main" id="{65E9DC64-91E3-453C-9807-3CF0379398BB}"/>
            </a:ext>
          </a:extLst>
        </xdr:cNvPr>
        <xdr:cNvGrpSpPr/>
      </xdr:nvGrpSpPr>
      <xdr:grpSpPr>
        <a:xfrm>
          <a:off x="15555294" y="2119753"/>
          <a:ext cx="344385" cy="488366"/>
          <a:chOff x="1295399" y="1639958"/>
          <a:chExt cx="346767" cy="534227"/>
        </a:xfrm>
      </xdr:grpSpPr>
      <xdr:sp macro="" textlink="">
        <xdr:nvSpPr>
          <xdr:cNvPr id="286" name="Hexagon 285">
            <a:extLst>
              <a:ext uri="{FF2B5EF4-FFF2-40B4-BE49-F238E27FC236}">
                <a16:creationId xmlns:a16="http://schemas.microsoft.com/office/drawing/2014/main" id="{33A2950F-A2A8-14C2-422D-B636B2CB5CD0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87" name="Group 286">
            <a:extLst>
              <a:ext uri="{FF2B5EF4-FFF2-40B4-BE49-F238E27FC236}">
                <a16:creationId xmlns:a16="http://schemas.microsoft.com/office/drawing/2014/main" id="{DB0FB083-0384-2D43-3A59-7DFC170A9E67}"/>
              </a:ext>
            </a:extLst>
          </xdr:cNvPr>
          <xdr:cNvGrpSpPr/>
        </xdr:nvGrpSpPr>
        <xdr:grpSpPr>
          <a:xfrm>
            <a:off x="1295399" y="1660212"/>
            <a:ext cx="346767" cy="513973"/>
            <a:chOff x="1295399" y="1660212"/>
            <a:chExt cx="346767" cy="513973"/>
          </a:xfrm>
        </xdr:grpSpPr>
        <xdr:cxnSp macro="">
          <xdr:nvCxnSpPr>
            <xdr:cNvPr id="288" name="Straight Connector 287">
              <a:extLst>
                <a:ext uri="{FF2B5EF4-FFF2-40B4-BE49-F238E27FC236}">
                  <a16:creationId xmlns:a16="http://schemas.microsoft.com/office/drawing/2014/main" id="{685AA52D-4CDE-2FB6-1157-E2A2434B62B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B27D7A64-F779-C48B-CB7F-E11FDF6BF31E}"/>
                </a:ext>
              </a:extLst>
            </xdr:cNvPr>
            <xdr:cNvSpPr txBox="1"/>
          </xdr:nvSpPr>
          <xdr:spPr>
            <a:xfrm>
              <a:off x="1295399" y="1660212"/>
              <a:ext cx="346767" cy="2283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18</a:t>
              </a:r>
            </a:p>
          </xdr:txBody>
        </xdr:sp>
      </xdr:grpSp>
    </xdr:grpSp>
    <xdr:clientData/>
  </xdr:twoCellAnchor>
  <xdr:twoCellAnchor>
    <xdr:from>
      <xdr:col>22</xdr:col>
      <xdr:colOff>392906</xdr:colOff>
      <xdr:row>13</xdr:row>
      <xdr:rowOff>0</xdr:rowOff>
    </xdr:from>
    <xdr:to>
      <xdr:col>23</xdr:col>
      <xdr:colOff>71437</xdr:colOff>
      <xdr:row>13</xdr:row>
      <xdr:rowOff>0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C6D15103-79E2-4581-9C31-32D818EAFF44}"/>
            </a:ext>
          </a:extLst>
        </xdr:cNvPr>
        <xdr:cNvCxnSpPr/>
      </xdr:nvCxnSpPr>
      <xdr:spPr>
        <a:xfrm flipH="1">
          <a:off x="18661856" y="2602230"/>
          <a:ext cx="55864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95250</xdr:colOff>
      <xdr:row>4</xdr:row>
      <xdr:rowOff>0</xdr:rowOff>
    </xdr:from>
    <xdr:to>
      <xdr:col>23</xdr:col>
      <xdr:colOff>726281</xdr:colOff>
      <xdr:row>6</xdr:row>
      <xdr:rowOff>179916</xdr:rowOff>
    </xdr:to>
    <xdr:sp macro="" textlink="">
      <xdr:nvSpPr>
        <xdr:cNvPr id="291" name="Rectangle 290">
          <a:extLst>
            <a:ext uri="{FF2B5EF4-FFF2-40B4-BE49-F238E27FC236}">
              <a16:creationId xmlns:a16="http://schemas.microsoft.com/office/drawing/2014/main" id="{33052D32-5437-4F44-852B-276129EA6804}"/>
            </a:ext>
          </a:extLst>
        </xdr:cNvPr>
        <xdr:cNvSpPr/>
      </xdr:nvSpPr>
      <xdr:spPr>
        <a:xfrm>
          <a:off x="19244310" y="956310"/>
          <a:ext cx="631031" cy="54567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95250</xdr:colOff>
      <xdr:row>4</xdr:row>
      <xdr:rowOff>142876</xdr:rowOff>
    </xdr:from>
    <xdr:to>
      <xdr:col>23</xdr:col>
      <xdr:colOff>690562</xdr:colOff>
      <xdr:row>6</xdr:row>
      <xdr:rowOff>58209</xdr:rowOff>
    </xdr:to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7DB64BA1-EAA9-4966-A1BB-07F2DFE962ED}"/>
            </a:ext>
          </a:extLst>
        </xdr:cNvPr>
        <xdr:cNvSpPr txBox="1"/>
      </xdr:nvSpPr>
      <xdr:spPr>
        <a:xfrm>
          <a:off x="19244310" y="1099186"/>
          <a:ext cx="595312" cy="281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aseline="0"/>
            <a:t>Cooler</a:t>
          </a:r>
          <a:endParaRPr lang="en-US" sz="1100"/>
        </a:p>
      </xdr:txBody>
    </xdr:sp>
    <xdr:clientData/>
  </xdr:twoCellAnchor>
  <xdr:twoCellAnchor>
    <xdr:from>
      <xdr:col>22</xdr:col>
      <xdr:colOff>333375</xdr:colOff>
      <xdr:row>7</xdr:row>
      <xdr:rowOff>0</xdr:rowOff>
    </xdr:from>
    <xdr:to>
      <xdr:col>22</xdr:col>
      <xdr:colOff>511970</xdr:colOff>
      <xdr:row>7</xdr:row>
      <xdr:rowOff>0</xdr:rowOff>
    </xdr:to>
    <xdr:cxnSp macro="">
      <xdr:nvCxnSpPr>
        <xdr:cNvPr id="293" name="Straight Connector 292">
          <a:extLst>
            <a:ext uri="{FF2B5EF4-FFF2-40B4-BE49-F238E27FC236}">
              <a16:creationId xmlns:a16="http://schemas.microsoft.com/office/drawing/2014/main" id="{F5A16C0C-5463-41F1-A5AF-3A117854EE53}"/>
            </a:ext>
          </a:extLst>
        </xdr:cNvPr>
        <xdr:cNvCxnSpPr/>
      </xdr:nvCxnSpPr>
      <xdr:spPr>
        <a:xfrm flipH="1">
          <a:off x="18602325" y="1504950"/>
          <a:ext cx="17859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297656</xdr:colOff>
      <xdr:row>9</xdr:row>
      <xdr:rowOff>1</xdr:rowOff>
    </xdr:from>
    <xdr:to>
      <xdr:col>24</xdr:col>
      <xdr:colOff>666750</xdr:colOff>
      <xdr:row>9</xdr:row>
      <xdr:rowOff>1</xdr:rowOff>
    </xdr:to>
    <xdr:cxnSp macro="">
      <xdr:nvCxnSpPr>
        <xdr:cNvPr id="294" name="Straight Connector 293">
          <a:extLst>
            <a:ext uri="{FF2B5EF4-FFF2-40B4-BE49-F238E27FC236}">
              <a16:creationId xmlns:a16="http://schemas.microsoft.com/office/drawing/2014/main" id="{4630A3F7-0EB1-43B3-ADF5-4976E5C7AA5F}"/>
            </a:ext>
          </a:extLst>
        </xdr:cNvPr>
        <xdr:cNvCxnSpPr/>
      </xdr:nvCxnSpPr>
      <xdr:spPr>
        <a:xfrm flipH="1">
          <a:off x="20315396" y="1870711"/>
          <a:ext cx="369094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488155</xdr:colOff>
      <xdr:row>6</xdr:row>
      <xdr:rowOff>59531</xdr:rowOff>
    </xdr:from>
    <xdr:to>
      <xdr:col>25</xdr:col>
      <xdr:colOff>71436</xdr:colOff>
      <xdr:row>9</xdr:row>
      <xdr:rowOff>12699</xdr:rowOff>
    </xdr:to>
    <xdr:grpSp>
      <xdr:nvGrpSpPr>
        <xdr:cNvPr id="295" name="Group 294">
          <a:extLst>
            <a:ext uri="{FF2B5EF4-FFF2-40B4-BE49-F238E27FC236}">
              <a16:creationId xmlns:a16="http://schemas.microsoft.com/office/drawing/2014/main" id="{975B99C9-1DA5-4C75-831F-4B117737BCA9}"/>
            </a:ext>
          </a:extLst>
        </xdr:cNvPr>
        <xdr:cNvGrpSpPr/>
      </xdr:nvGrpSpPr>
      <xdr:grpSpPr>
        <a:xfrm>
          <a:off x="15841044" y="1385975"/>
          <a:ext cx="190059" cy="503502"/>
          <a:chOff x="1304924" y="1639958"/>
          <a:chExt cx="324542" cy="534227"/>
        </a:xfrm>
      </xdr:grpSpPr>
      <xdr:sp macro="" textlink="">
        <xdr:nvSpPr>
          <xdr:cNvPr id="296" name="Hexagon 295">
            <a:extLst>
              <a:ext uri="{FF2B5EF4-FFF2-40B4-BE49-F238E27FC236}">
                <a16:creationId xmlns:a16="http://schemas.microsoft.com/office/drawing/2014/main" id="{6307BB5F-C529-94ED-37F6-DA413B38ECCE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97" name="Group 296">
            <a:extLst>
              <a:ext uri="{FF2B5EF4-FFF2-40B4-BE49-F238E27FC236}">
                <a16:creationId xmlns:a16="http://schemas.microsoft.com/office/drawing/2014/main" id="{93E807F0-7BD3-B415-6C42-307A9635B216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298" name="Straight Connector 297">
              <a:extLst>
                <a:ext uri="{FF2B5EF4-FFF2-40B4-BE49-F238E27FC236}">
                  <a16:creationId xmlns:a16="http://schemas.microsoft.com/office/drawing/2014/main" id="{F339C8CA-0611-6313-53EF-44B68AA3AB6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3C0770A6-66DC-34CB-F71B-298E740DE6EB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19</a:t>
              </a:r>
            </a:p>
          </xdr:txBody>
        </xdr:sp>
      </xdr:grpSp>
    </xdr:grpSp>
    <xdr:clientData/>
  </xdr:twoCellAnchor>
  <xdr:twoCellAnchor>
    <xdr:from>
      <xdr:col>20</xdr:col>
      <xdr:colOff>595312</xdr:colOff>
      <xdr:row>12</xdr:row>
      <xdr:rowOff>11907</xdr:rowOff>
    </xdr:from>
    <xdr:to>
      <xdr:col>21</xdr:col>
      <xdr:colOff>535781</xdr:colOff>
      <xdr:row>12</xdr:row>
      <xdr:rowOff>11907</xdr:rowOff>
    </xdr:to>
    <xdr:cxnSp macro="">
      <xdr:nvCxnSpPr>
        <xdr:cNvPr id="300" name="Straight Connector 299">
          <a:extLst>
            <a:ext uri="{FF2B5EF4-FFF2-40B4-BE49-F238E27FC236}">
              <a16:creationId xmlns:a16="http://schemas.microsoft.com/office/drawing/2014/main" id="{810F790F-3AEE-4931-9A90-CF904DBB248D}"/>
            </a:ext>
          </a:extLst>
        </xdr:cNvPr>
        <xdr:cNvCxnSpPr/>
      </xdr:nvCxnSpPr>
      <xdr:spPr>
        <a:xfrm flipH="1">
          <a:off x="17302162" y="2431257"/>
          <a:ext cx="62245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523875</xdr:colOff>
      <xdr:row>12</xdr:row>
      <xdr:rowOff>11906</xdr:rowOff>
    </xdr:from>
    <xdr:to>
      <xdr:col>21</xdr:col>
      <xdr:colOff>523875</xdr:colOff>
      <xdr:row>14</xdr:row>
      <xdr:rowOff>178593</xdr:rowOff>
    </xdr:to>
    <xdr:cxnSp macro="">
      <xdr:nvCxnSpPr>
        <xdr:cNvPr id="301" name="Straight Arrow Connector 300">
          <a:extLst>
            <a:ext uri="{FF2B5EF4-FFF2-40B4-BE49-F238E27FC236}">
              <a16:creationId xmlns:a16="http://schemas.microsoft.com/office/drawing/2014/main" id="{9A18EAD1-C98B-4236-89E4-EDC2491C4BD8}"/>
            </a:ext>
          </a:extLst>
        </xdr:cNvPr>
        <xdr:cNvCxnSpPr/>
      </xdr:nvCxnSpPr>
      <xdr:spPr>
        <a:xfrm>
          <a:off x="17912715" y="2431256"/>
          <a:ext cx="0" cy="53244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638651</xdr:colOff>
      <xdr:row>6</xdr:row>
      <xdr:rowOff>35719</xdr:rowOff>
    </xdr:from>
    <xdr:to>
      <xdr:col>22</xdr:col>
      <xdr:colOff>241198</xdr:colOff>
      <xdr:row>8</xdr:row>
      <xdr:rowOff>179387</xdr:rowOff>
    </xdr:to>
    <xdr:grpSp>
      <xdr:nvGrpSpPr>
        <xdr:cNvPr id="302" name="Group 301">
          <a:extLst>
            <a:ext uri="{FF2B5EF4-FFF2-40B4-BE49-F238E27FC236}">
              <a16:creationId xmlns:a16="http://schemas.microsoft.com/office/drawing/2014/main" id="{B61E3221-E5EE-42FC-970F-12FD5F7EEE10}"/>
            </a:ext>
          </a:extLst>
        </xdr:cNvPr>
        <xdr:cNvGrpSpPr/>
      </xdr:nvGrpSpPr>
      <xdr:grpSpPr>
        <a:xfrm>
          <a:off x="14139457" y="1362163"/>
          <a:ext cx="241074" cy="510557"/>
          <a:chOff x="1304924" y="1639958"/>
          <a:chExt cx="324542" cy="534227"/>
        </a:xfrm>
      </xdr:grpSpPr>
      <xdr:sp macro="" textlink="">
        <xdr:nvSpPr>
          <xdr:cNvPr id="303" name="Hexagon 302">
            <a:extLst>
              <a:ext uri="{FF2B5EF4-FFF2-40B4-BE49-F238E27FC236}">
                <a16:creationId xmlns:a16="http://schemas.microsoft.com/office/drawing/2014/main" id="{8899F6EF-A6C1-D436-9D6F-7E861562E34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04" name="Group 303">
            <a:extLst>
              <a:ext uri="{FF2B5EF4-FFF2-40B4-BE49-F238E27FC236}">
                <a16:creationId xmlns:a16="http://schemas.microsoft.com/office/drawing/2014/main" id="{B10548B0-F818-7196-FE51-FC84E4A7931E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305" name="Straight Connector 304">
              <a:extLst>
                <a:ext uri="{FF2B5EF4-FFF2-40B4-BE49-F238E27FC236}">
                  <a16:creationId xmlns:a16="http://schemas.microsoft.com/office/drawing/2014/main" id="{C5DC85A6-4279-1120-A10D-9EECFC316252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8050EBD2-5A89-937F-DEFB-AE1DC53BAA82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21</a:t>
              </a:r>
            </a:p>
          </xdr:txBody>
        </xdr:sp>
      </xdr:grpSp>
    </xdr:grpSp>
    <xdr:clientData/>
  </xdr:twoCellAnchor>
  <xdr:twoCellAnchor>
    <xdr:from>
      <xdr:col>17</xdr:col>
      <xdr:colOff>190500</xdr:colOff>
      <xdr:row>6</xdr:row>
      <xdr:rowOff>107157</xdr:rowOff>
    </xdr:from>
    <xdr:to>
      <xdr:col>17</xdr:col>
      <xdr:colOff>521409</xdr:colOff>
      <xdr:row>8</xdr:row>
      <xdr:rowOff>181644</xdr:rowOff>
    </xdr:to>
    <xdr:grpSp>
      <xdr:nvGrpSpPr>
        <xdr:cNvPr id="307" name="Group 306">
          <a:extLst>
            <a:ext uri="{FF2B5EF4-FFF2-40B4-BE49-F238E27FC236}">
              <a16:creationId xmlns:a16="http://schemas.microsoft.com/office/drawing/2014/main" id="{B54D1174-A0E0-4683-B00D-4312F16DA96C}"/>
            </a:ext>
          </a:extLst>
        </xdr:cNvPr>
        <xdr:cNvGrpSpPr/>
      </xdr:nvGrpSpPr>
      <xdr:grpSpPr>
        <a:xfrm>
          <a:off x="11295944" y="1433601"/>
          <a:ext cx="330909" cy="441376"/>
          <a:chOff x="1304481" y="1639958"/>
          <a:chExt cx="334919" cy="534227"/>
        </a:xfrm>
      </xdr:grpSpPr>
      <xdr:sp macro="" textlink="">
        <xdr:nvSpPr>
          <xdr:cNvPr id="308" name="Hexagon 307">
            <a:extLst>
              <a:ext uri="{FF2B5EF4-FFF2-40B4-BE49-F238E27FC236}">
                <a16:creationId xmlns:a16="http://schemas.microsoft.com/office/drawing/2014/main" id="{B4977975-A5AB-0725-6E82-CEB63C4FEE1B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09" name="Group 308">
            <a:extLst>
              <a:ext uri="{FF2B5EF4-FFF2-40B4-BE49-F238E27FC236}">
                <a16:creationId xmlns:a16="http://schemas.microsoft.com/office/drawing/2014/main" id="{FBD252E1-567A-01B6-291D-B002F9559322}"/>
              </a:ext>
            </a:extLst>
          </xdr:cNvPr>
          <xdr:cNvGrpSpPr/>
        </xdr:nvGrpSpPr>
        <xdr:grpSpPr>
          <a:xfrm>
            <a:off x="1304481" y="1639958"/>
            <a:ext cx="334919" cy="534227"/>
            <a:chOff x="1304481" y="1639958"/>
            <a:chExt cx="334919" cy="534227"/>
          </a:xfrm>
        </xdr:grpSpPr>
        <xdr:cxnSp macro="">
          <xdr:nvCxnSpPr>
            <xdr:cNvPr id="310" name="Straight Connector 309">
              <a:extLst>
                <a:ext uri="{FF2B5EF4-FFF2-40B4-BE49-F238E27FC236}">
                  <a16:creationId xmlns:a16="http://schemas.microsoft.com/office/drawing/2014/main" id="{B89A7451-7C31-0BA2-E4F7-08E87D319027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F6D6C5D6-D17A-096F-A953-B0DDA350CF75}"/>
                </a:ext>
              </a:extLst>
            </xdr:cNvPr>
            <xdr:cNvSpPr txBox="1"/>
          </xdr:nvSpPr>
          <xdr:spPr>
            <a:xfrm>
              <a:off x="1304481" y="1639958"/>
              <a:ext cx="334919" cy="247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23</a:t>
              </a:r>
            </a:p>
          </xdr:txBody>
        </xdr:sp>
      </xdr:grpSp>
    </xdr:grpSp>
    <xdr:clientData/>
  </xdr:twoCellAnchor>
  <xdr:twoCellAnchor>
    <xdr:from>
      <xdr:col>21</xdr:col>
      <xdr:colOff>71437</xdr:colOff>
      <xdr:row>9</xdr:row>
      <xdr:rowOff>71437</xdr:rowOff>
    </xdr:from>
    <xdr:to>
      <xdr:col>21</xdr:col>
      <xdr:colOff>415822</xdr:colOff>
      <xdr:row>12</xdr:row>
      <xdr:rowOff>2414</xdr:rowOff>
    </xdr:to>
    <xdr:grpSp>
      <xdr:nvGrpSpPr>
        <xdr:cNvPr id="312" name="Group 311">
          <a:extLst>
            <a:ext uri="{FF2B5EF4-FFF2-40B4-BE49-F238E27FC236}">
              <a16:creationId xmlns:a16="http://schemas.microsoft.com/office/drawing/2014/main" id="{CCBB4BF7-66F2-479C-9178-DBB4CBDF9512}"/>
            </a:ext>
          </a:extLst>
        </xdr:cNvPr>
        <xdr:cNvGrpSpPr/>
      </xdr:nvGrpSpPr>
      <xdr:grpSpPr>
        <a:xfrm>
          <a:off x="13603993" y="1948215"/>
          <a:ext cx="344385" cy="481310"/>
          <a:chOff x="1295399" y="1639958"/>
          <a:chExt cx="346767" cy="534227"/>
        </a:xfrm>
      </xdr:grpSpPr>
      <xdr:sp macro="" textlink="">
        <xdr:nvSpPr>
          <xdr:cNvPr id="313" name="Hexagon 312">
            <a:extLst>
              <a:ext uri="{FF2B5EF4-FFF2-40B4-BE49-F238E27FC236}">
                <a16:creationId xmlns:a16="http://schemas.microsoft.com/office/drawing/2014/main" id="{B3E7FCDC-3A70-D722-9A4C-D454FD04CA2F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14" name="Group 313">
            <a:extLst>
              <a:ext uri="{FF2B5EF4-FFF2-40B4-BE49-F238E27FC236}">
                <a16:creationId xmlns:a16="http://schemas.microsoft.com/office/drawing/2014/main" id="{C41D15F8-7BA1-7487-862D-F8C053F473EC}"/>
              </a:ext>
            </a:extLst>
          </xdr:cNvPr>
          <xdr:cNvGrpSpPr/>
        </xdr:nvGrpSpPr>
        <xdr:grpSpPr>
          <a:xfrm>
            <a:off x="1295399" y="1660212"/>
            <a:ext cx="346767" cy="513973"/>
            <a:chOff x="1295399" y="1660212"/>
            <a:chExt cx="346767" cy="513973"/>
          </a:xfrm>
        </xdr:grpSpPr>
        <xdr:cxnSp macro="">
          <xdr:nvCxnSpPr>
            <xdr:cNvPr id="315" name="Straight Connector 314">
              <a:extLst>
                <a:ext uri="{FF2B5EF4-FFF2-40B4-BE49-F238E27FC236}">
                  <a16:creationId xmlns:a16="http://schemas.microsoft.com/office/drawing/2014/main" id="{B52D75C2-B889-87DA-E4F3-64CC87E9D275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4009532D-D2C7-4170-FC3A-676186FE7A61}"/>
                </a:ext>
              </a:extLst>
            </xdr:cNvPr>
            <xdr:cNvSpPr txBox="1"/>
          </xdr:nvSpPr>
          <xdr:spPr>
            <a:xfrm>
              <a:off x="1295399" y="1660212"/>
              <a:ext cx="346767" cy="2283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24</a:t>
              </a:r>
            </a:p>
          </xdr:txBody>
        </xdr:sp>
      </xdr:grpSp>
    </xdr:grpSp>
    <xdr:clientData/>
  </xdr:twoCellAnchor>
  <xdr:twoCellAnchor>
    <xdr:from>
      <xdr:col>20</xdr:col>
      <xdr:colOff>0</xdr:colOff>
      <xdr:row>21</xdr:row>
      <xdr:rowOff>154781</xdr:rowOff>
    </xdr:from>
    <xdr:to>
      <xdr:col>21</xdr:col>
      <xdr:colOff>0</xdr:colOff>
      <xdr:row>25</xdr:row>
      <xdr:rowOff>142873</xdr:rowOff>
    </xdr:to>
    <xdr:sp macro="" textlink="">
      <xdr:nvSpPr>
        <xdr:cNvPr id="317" name="Rectangle 316">
          <a:extLst>
            <a:ext uri="{FF2B5EF4-FFF2-40B4-BE49-F238E27FC236}">
              <a16:creationId xmlns:a16="http://schemas.microsoft.com/office/drawing/2014/main" id="{2DA8F2C9-020E-4F61-B67B-1EBF330F9E65}"/>
            </a:ext>
          </a:extLst>
        </xdr:cNvPr>
        <xdr:cNvSpPr/>
      </xdr:nvSpPr>
      <xdr:spPr>
        <a:xfrm>
          <a:off x="16706850" y="4220051"/>
          <a:ext cx="681990" cy="719612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595312</xdr:colOff>
      <xdr:row>22</xdr:row>
      <xdr:rowOff>71437</xdr:rowOff>
    </xdr:from>
    <xdr:to>
      <xdr:col>19</xdr:col>
      <xdr:colOff>619124</xdr:colOff>
      <xdr:row>22</xdr:row>
      <xdr:rowOff>71437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2CF5397F-16ED-450C-9562-878505E6CA8B}"/>
            </a:ext>
          </a:extLst>
        </xdr:cNvPr>
        <xdr:cNvCxnSpPr/>
      </xdr:nvCxnSpPr>
      <xdr:spPr>
        <a:xfrm flipH="1">
          <a:off x="15256192" y="4319587"/>
          <a:ext cx="138779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28</xdr:row>
      <xdr:rowOff>0</xdr:rowOff>
    </xdr:from>
    <xdr:to>
      <xdr:col>21</xdr:col>
      <xdr:colOff>0</xdr:colOff>
      <xdr:row>30</xdr:row>
      <xdr:rowOff>179916</xdr:rowOff>
    </xdr:to>
    <xdr:sp macro="" textlink="">
      <xdr:nvSpPr>
        <xdr:cNvPr id="319" name="Rectangle 318">
          <a:extLst>
            <a:ext uri="{FF2B5EF4-FFF2-40B4-BE49-F238E27FC236}">
              <a16:creationId xmlns:a16="http://schemas.microsoft.com/office/drawing/2014/main" id="{E5699B2D-FDE1-4369-9788-7378AF3A78C4}"/>
            </a:ext>
          </a:extLst>
        </xdr:cNvPr>
        <xdr:cNvSpPr/>
      </xdr:nvSpPr>
      <xdr:spPr>
        <a:xfrm>
          <a:off x="16706850" y="5345430"/>
          <a:ext cx="681990" cy="54567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35719</xdr:colOff>
      <xdr:row>28</xdr:row>
      <xdr:rowOff>142875</xdr:rowOff>
    </xdr:from>
    <xdr:to>
      <xdr:col>21</xdr:col>
      <xdr:colOff>0</xdr:colOff>
      <xdr:row>30</xdr:row>
      <xdr:rowOff>58208</xdr:rowOff>
    </xdr:to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74E5CB01-0918-44B8-86C3-3622C0767BEF}"/>
            </a:ext>
          </a:extLst>
        </xdr:cNvPr>
        <xdr:cNvSpPr txBox="1"/>
      </xdr:nvSpPr>
      <xdr:spPr>
        <a:xfrm>
          <a:off x="16742569" y="5488305"/>
          <a:ext cx="646271" cy="281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aseline="0"/>
            <a:t>Cooler</a:t>
          </a:r>
          <a:endParaRPr lang="en-US" sz="1100"/>
        </a:p>
      </xdr:txBody>
    </xdr:sp>
    <xdr:clientData/>
  </xdr:twoCellAnchor>
  <xdr:twoCellAnchor>
    <xdr:from>
      <xdr:col>21</xdr:col>
      <xdr:colOff>381000</xdr:colOff>
      <xdr:row>26</xdr:row>
      <xdr:rowOff>59530</xdr:rowOff>
    </xdr:from>
    <xdr:to>
      <xdr:col>22</xdr:col>
      <xdr:colOff>1428</xdr:colOff>
      <xdr:row>27</xdr:row>
      <xdr:rowOff>178592</xdr:rowOff>
    </xdr:to>
    <xdr:grpSp>
      <xdr:nvGrpSpPr>
        <xdr:cNvPr id="321" name="Group 320">
          <a:extLst>
            <a:ext uri="{FF2B5EF4-FFF2-40B4-BE49-F238E27FC236}">
              <a16:creationId xmlns:a16="http://schemas.microsoft.com/office/drawing/2014/main" id="{5D33AF05-793B-4344-AF7F-08FAA454927B}"/>
            </a:ext>
          </a:extLst>
        </xdr:cNvPr>
        <xdr:cNvGrpSpPr/>
      </xdr:nvGrpSpPr>
      <xdr:grpSpPr>
        <a:xfrm rot="5400000">
          <a:off x="13875905" y="5092514"/>
          <a:ext cx="302507" cy="227205"/>
          <a:chOff x="6453188" y="3298031"/>
          <a:chExt cx="309562" cy="321468"/>
        </a:xfrm>
      </xdr:grpSpPr>
      <xdr:sp macro="" textlink="">
        <xdr:nvSpPr>
          <xdr:cNvPr id="322" name="Oval 321">
            <a:extLst>
              <a:ext uri="{FF2B5EF4-FFF2-40B4-BE49-F238E27FC236}">
                <a16:creationId xmlns:a16="http://schemas.microsoft.com/office/drawing/2014/main" id="{F3552FC0-6822-5EDC-4BB7-9CC62211C16E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23" name="Isosceles Triangle 322">
            <a:extLst>
              <a:ext uri="{FF2B5EF4-FFF2-40B4-BE49-F238E27FC236}">
                <a16:creationId xmlns:a16="http://schemas.microsoft.com/office/drawing/2014/main" id="{137E961E-DCD8-F6ED-0445-92EF0AA452DC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20</xdr:col>
      <xdr:colOff>619125</xdr:colOff>
      <xdr:row>25</xdr:row>
      <xdr:rowOff>0</xdr:rowOff>
    </xdr:from>
    <xdr:to>
      <xdr:col>21</xdr:col>
      <xdr:colOff>547688</xdr:colOff>
      <xdr:row>25</xdr:row>
      <xdr:rowOff>0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31ABD6C1-9E6F-4C6B-9A2C-7EC361397BAD}"/>
            </a:ext>
          </a:extLst>
        </xdr:cNvPr>
        <xdr:cNvCxnSpPr/>
      </xdr:nvCxnSpPr>
      <xdr:spPr>
        <a:xfrm>
          <a:off x="17325975" y="4796790"/>
          <a:ext cx="610553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547687</xdr:colOff>
      <xdr:row>25</xdr:row>
      <xdr:rowOff>11906</xdr:rowOff>
    </xdr:from>
    <xdr:to>
      <xdr:col>21</xdr:col>
      <xdr:colOff>547687</xdr:colOff>
      <xdr:row>26</xdr:row>
      <xdr:rowOff>59531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BAD2027F-51FE-4108-8F80-E455F03ADE6E}"/>
            </a:ext>
          </a:extLst>
        </xdr:cNvPr>
        <xdr:cNvCxnSpPr/>
      </xdr:nvCxnSpPr>
      <xdr:spPr>
        <a:xfrm>
          <a:off x="17936527" y="4808696"/>
          <a:ext cx="0" cy="230505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547688</xdr:colOff>
      <xdr:row>28</xdr:row>
      <xdr:rowOff>0</xdr:rowOff>
    </xdr:from>
    <xdr:to>
      <xdr:col>21</xdr:col>
      <xdr:colOff>547688</xdr:colOff>
      <xdr:row>29</xdr:row>
      <xdr:rowOff>119062</xdr:rowOff>
    </xdr:to>
    <xdr:cxnSp macro="">
      <xdr:nvCxnSpPr>
        <xdr:cNvPr id="326" name="Straight Connector 325">
          <a:extLst>
            <a:ext uri="{FF2B5EF4-FFF2-40B4-BE49-F238E27FC236}">
              <a16:creationId xmlns:a16="http://schemas.microsoft.com/office/drawing/2014/main" id="{B8B7412A-A3C1-4292-844D-E8A805858EF5}"/>
            </a:ext>
          </a:extLst>
        </xdr:cNvPr>
        <xdr:cNvCxnSpPr/>
      </xdr:nvCxnSpPr>
      <xdr:spPr>
        <a:xfrm>
          <a:off x="17936528" y="5345430"/>
          <a:ext cx="0" cy="301942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619124</xdr:colOff>
      <xdr:row>29</xdr:row>
      <xdr:rowOff>107156</xdr:rowOff>
    </xdr:from>
    <xdr:to>
      <xdr:col>21</xdr:col>
      <xdr:colOff>559594</xdr:colOff>
      <xdr:row>29</xdr:row>
      <xdr:rowOff>107156</xdr:rowOff>
    </xdr:to>
    <xdr:cxnSp macro="">
      <xdr:nvCxnSpPr>
        <xdr:cNvPr id="327" name="Straight Arrow Connector 326">
          <a:extLst>
            <a:ext uri="{FF2B5EF4-FFF2-40B4-BE49-F238E27FC236}">
              <a16:creationId xmlns:a16="http://schemas.microsoft.com/office/drawing/2014/main" id="{D19E81F2-FAE9-4B29-B1B3-C8F16DD0FC59}"/>
            </a:ext>
          </a:extLst>
        </xdr:cNvPr>
        <xdr:cNvCxnSpPr/>
      </xdr:nvCxnSpPr>
      <xdr:spPr>
        <a:xfrm flipH="1">
          <a:off x="17325974" y="5635466"/>
          <a:ext cx="622460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226219</xdr:colOff>
      <xdr:row>29</xdr:row>
      <xdr:rowOff>119063</xdr:rowOff>
    </xdr:from>
    <xdr:to>
      <xdr:col>19</xdr:col>
      <xdr:colOff>607218</xdr:colOff>
      <xdr:row>29</xdr:row>
      <xdr:rowOff>119063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8FFE046A-2E1B-4F95-B5DE-0798BC627A66}"/>
            </a:ext>
          </a:extLst>
        </xdr:cNvPr>
        <xdr:cNvCxnSpPr/>
      </xdr:nvCxnSpPr>
      <xdr:spPr>
        <a:xfrm>
          <a:off x="16251079" y="5647373"/>
          <a:ext cx="380999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238124</xdr:colOff>
      <xdr:row>25</xdr:row>
      <xdr:rowOff>11906</xdr:rowOff>
    </xdr:from>
    <xdr:to>
      <xdr:col>19</xdr:col>
      <xdr:colOff>238124</xdr:colOff>
      <xdr:row>29</xdr:row>
      <xdr:rowOff>107155</xdr:rowOff>
    </xdr:to>
    <xdr:cxnSp macro="">
      <xdr:nvCxnSpPr>
        <xdr:cNvPr id="329" name="Straight Connector 328">
          <a:extLst>
            <a:ext uri="{FF2B5EF4-FFF2-40B4-BE49-F238E27FC236}">
              <a16:creationId xmlns:a16="http://schemas.microsoft.com/office/drawing/2014/main" id="{D23CBF7F-EC41-4A6F-BAD0-59D5C029250D}"/>
            </a:ext>
          </a:extLst>
        </xdr:cNvPr>
        <xdr:cNvCxnSpPr/>
      </xdr:nvCxnSpPr>
      <xdr:spPr>
        <a:xfrm>
          <a:off x="16262984" y="4808696"/>
          <a:ext cx="0" cy="826769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25</xdr:row>
      <xdr:rowOff>11906</xdr:rowOff>
    </xdr:from>
    <xdr:to>
      <xdr:col>19</xdr:col>
      <xdr:colOff>607219</xdr:colOff>
      <xdr:row>25</xdr:row>
      <xdr:rowOff>11906</xdr:rowOff>
    </xdr:to>
    <xdr:cxnSp macro="">
      <xdr:nvCxnSpPr>
        <xdr:cNvPr id="330" name="Straight Connector 329">
          <a:extLst>
            <a:ext uri="{FF2B5EF4-FFF2-40B4-BE49-F238E27FC236}">
              <a16:creationId xmlns:a16="http://schemas.microsoft.com/office/drawing/2014/main" id="{7D5AF495-7253-4379-A1C0-F3EBE782B396}"/>
            </a:ext>
          </a:extLst>
        </xdr:cNvPr>
        <xdr:cNvCxnSpPr/>
      </xdr:nvCxnSpPr>
      <xdr:spPr>
        <a:xfrm>
          <a:off x="16274891" y="4808696"/>
          <a:ext cx="357188" cy="0"/>
        </a:xfrm>
        <a:prstGeom prst="line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21</xdr:row>
      <xdr:rowOff>130969</xdr:rowOff>
    </xdr:from>
    <xdr:to>
      <xdr:col>20</xdr:col>
      <xdr:colOff>607218</xdr:colOff>
      <xdr:row>25</xdr:row>
      <xdr:rowOff>166687</xdr:rowOff>
    </xdr:to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9284B4C-B4D9-46DE-B4D3-CF3E7131D5FE}"/>
            </a:ext>
          </a:extLst>
        </xdr:cNvPr>
        <xdr:cNvSpPr txBox="1"/>
      </xdr:nvSpPr>
      <xdr:spPr>
        <a:xfrm>
          <a:off x="16706850" y="4196239"/>
          <a:ext cx="607218" cy="7672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Strong/ Cold Water HX-5</a:t>
          </a:r>
        </a:p>
      </xdr:txBody>
    </xdr:sp>
    <xdr:clientData/>
  </xdr:twoCellAnchor>
  <xdr:twoCellAnchor>
    <xdr:from>
      <xdr:col>18</xdr:col>
      <xdr:colOff>464344</xdr:colOff>
      <xdr:row>19</xdr:row>
      <xdr:rowOff>107157</xdr:rowOff>
    </xdr:from>
    <xdr:to>
      <xdr:col>19</xdr:col>
      <xdr:colOff>157854</xdr:colOff>
      <xdr:row>22</xdr:row>
      <xdr:rowOff>60325</xdr:rowOff>
    </xdr:to>
    <xdr:grpSp>
      <xdr:nvGrpSpPr>
        <xdr:cNvPr id="332" name="Group 331">
          <a:extLst>
            <a:ext uri="{FF2B5EF4-FFF2-40B4-BE49-F238E27FC236}">
              <a16:creationId xmlns:a16="http://schemas.microsoft.com/office/drawing/2014/main" id="{20DE6420-19E1-47E2-92F8-AAC3E0B44DC7}"/>
            </a:ext>
          </a:extLst>
        </xdr:cNvPr>
        <xdr:cNvGrpSpPr/>
      </xdr:nvGrpSpPr>
      <xdr:grpSpPr>
        <a:xfrm>
          <a:off x="12176566" y="3818379"/>
          <a:ext cx="300288" cy="503502"/>
          <a:chOff x="1304924" y="1639958"/>
          <a:chExt cx="324542" cy="534227"/>
        </a:xfrm>
      </xdr:grpSpPr>
      <xdr:sp macro="" textlink="">
        <xdr:nvSpPr>
          <xdr:cNvPr id="333" name="Hexagon 332">
            <a:extLst>
              <a:ext uri="{FF2B5EF4-FFF2-40B4-BE49-F238E27FC236}">
                <a16:creationId xmlns:a16="http://schemas.microsoft.com/office/drawing/2014/main" id="{2CB08E67-1D5F-0C7C-1C64-E7C510C0E38A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34" name="Group 333">
            <a:extLst>
              <a:ext uri="{FF2B5EF4-FFF2-40B4-BE49-F238E27FC236}">
                <a16:creationId xmlns:a16="http://schemas.microsoft.com/office/drawing/2014/main" id="{A07DDE6B-0BF0-D448-F666-8E3A3C86C208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335" name="Straight Connector 334">
              <a:extLst>
                <a:ext uri="{FF2B5EF4-FFF2-40B4-BE49-F238E27FC236}">
                  <a16:creationId xmlns:a16="http://schemas.microsoft.com/office/drawing/2014/main" id="{1DDC17B5-153B-823E-33B5-786982A8B9C9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B24106D6-6210-CBBB-EED8-743426EB025C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31</a:t>
              </a:r>
            </a:p>
          </xdr:txBody>
        </xdr:sp>
      </xdr:grpSp>
    </xdr:grpSp>
    <xdr:clientData/>
  </xdr:twoCellAnchor>
  <xdr:twoCellAnchor>
    <xdr:from>
      <xdr:col>18</xdr:col>
      <xdr:colOff>345281</xdr:colOff>
      <xdr:row>24</xdr:row>
      <xdr:rowOff>130969</xdr:rowOff>
    </xdr:from>
    <xdr:to>
      <xdr:col>19</xdr:col>
      <xdr:colOff>38791</xdr:colOff>
      <xdr:row>27</xdr:row>
      <xdr:rowOff>84137</xdr:rowOff>
    </xdr:to>
    <xdr:grpSp>
      <xdr:nvGrpSpPr>
        <xdr:cNvPr id="337" name="Group 336">
          <a:extLst>
            <a:ext uri="{FF2B5EF4-FFF2-40B4-BE49-F238E27FC236}">
              <a16:creationId xmlns:a16="http://schemas.microsoft.com/office/drawing/2014/main" id="{F0509DCB-17C4-49C6-8C3B-962819A77D7B}"/>
            </a:ext>
          </a:extLst>
        </xdr:cNvPr>
        <xdr:cNvGrpSpPr/>
      </xdr:nvGrpSpPr>
      <xdr:grpSpPr>
        <a:xfrm>
          <a:off x="12057503" y="4759413"/>
          <a:ext cx="300288" cy="503502"/>
          <a:chOff x="1304924" y="1639958"/>
          <a:chExt cx="324542" cy="534227"/>
        </a:xfrm>
      </xdr:grpSpPr>
      <xdr:sp macro="" textlink="">
        <xdr:nvSpPr>
          <xdr:cNvPr id="338" name="Hexagon 337">
            <a:extLst>
              <a:ext uri="{FF2B5EF4-FFF2-40B4-BE49-F238E27FC236}">
                <a16:creationId xmlns:a16="http://schemas.microsoft.com/office/drawing/2014/main" id="{FAA6F0FE-F193-344D-D551-522766BE761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39" name="Group 338">
            <a:extLst>
              <a:ext uri="{FF2B5EF4-FFF2-40B4-BE49-F238E27FC236}">
                <a16:creationId xmlns:a16="http://schemas.microsoft.com/office/drawing/2014/main" id="{05510A6B-9DAF-2A1D-5F25-4109B8C2A0F3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340" name="Straight Connector 339">
              <a:extLst>
                <a:ext uri="{FF2B5EF4-FFF2-40B4-BE49-F238E27FC236}">
                  <a16:creationId xmlns:a16="http://schemas.microsoft.com/office/drawing/2014/main" id="{8F3E5F46-9C91-7031-B373-3758E2F44DB3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5931D692-3125-A3BA-AFAB-8A77A0DC638B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33</a:t>
              </a:r>
            </a:p>
          </xdr:txBody>
        </xdr:sp>
      </xdr:grpSp>
    </xdr:grpSp>
    <xdr:clientData/>
  </xdr:twoCellAnchor>
  <xdr:twoCellAnchor>
    <xdr:from>
      <xdr:col>18</xdr:col>
      <xdr:colOff>500063</xdr:colOff>
      <xdr:row>27</xdr:row>
      <xdr:rowOff>95251</xdr:rowOff>
    </xdr:from>
    <xdr:to>
      <xdr:col>19</xdr:col>
      <xdr:colOff>238125</xdr:colOff>
      <xdr:row>27</xdr:row>
      <xdr:rowOff>95251</xdr:rowOff>
    </xdr:to>
    <xdr:cxnSp macro="">
      <xdr:nvCxnSpPr>
        <xdr:cNvPr id="342" name="Straight Connector 341">
          <a:extLst>
            <a:ext uri="{FF2B5EF4-FFF2-40B4-BE49-F238E27FC236}">
              <a16:creationId xmlns:a16="http://schemas.microsoft.com/office/drawing/2014/main" id="{1FB7DA32-F2A6-4197-8EAA-48500D0CFAE6}"/>
            </a:ext>
          </a:extLst>
        </xdr:cNvPr>
        <xdr:cNvCxnSpPr/>
      </xdr:nvCxnSpPr>
      <xdr:spPr>
        <a:xfrm flipH="1">
          <a:off x="15842933" y="5257801"/>
          <a:ext cx="420052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559594</xdr:colOff>
      <xdr:row>29</xdr:row>
      <xdr:rowOff>11906</xdr:rowOff>
    </xdr:from>
    <xdr:to>
      <xdr:col>22</xdr:col>
      <xdr:colOff>119063</xdr:colOff>
      <xdr:row>29</xdr:row>
      <xdr:rowOff>11906</xdr:rowOff>
    </xdr:to>
    <xdr:cxnSp macro="">
      <xdr:nvCxnSpPr>
        <xdr:cNvPr id="343" name="Straight Connector 342">
          <a:extLst>
            <a:ext uri="{FF2B5EF4-FFF2-40B4-BE49-F238E27FC236}">
              <a16:creationId xmlns:a16="http://schemas.microsoft.com/office/drawing/2014/main" id="{403FF5CE-ABB8-4C72-A979-ADC850FB6F78}"/>
            </a:ext>
          </a:extLst>
        </xdr:cNvPr>
        <xdr:cNvCxnSpPr/>
      </xdr:nvCxnSpPr>
      <xdr:spPr>
        <a:xfrm flipH="1">
          <a:off x="17948434" y="5540216"/>
          <a:ext cx="4395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1429</xdr:colOff>
      <xdr:row>26</xdr:row>
      <xdr:rowOff>69056</xdr:rowOff>
    </xdr:from>
    <xdr:to>
      <xdr:col>22</xdr:col>
      <xdr:colOff>274536</xdr:colOff>
      <xdr:row>29</xdr:row>
      <xdr:rowOff>22224</xdr:rowOff>
    </xdr:to>
    <xdr:grpSp>
      <xdr:nvGrpSpPr>
        <xdr:cNvPr id="344" name="Group 343">
          <a:extLst>
            <a:ext uri="{FF2B5EF4-FFF2-40B4-BE49-F238E27FC236}">
              <a16:creationId xmlns:a16="http://schemas.microsoft.com/office/drawing/2014/main" id="{6E5D3C07-A21D-4C1C-8B70-73B112770766}"/>
            </a:ext>
          </a:extLst>
        </xdr:cNvPr>
        <xdr:cNvGrpSpPr/>
      </xdr:nvGrpSpPr>
      <xdr:grpSpPr>
        <a:xfrm>
          <a:off x="14140762" y="5064389"/>
          <a:ext cx="273107" cy="503502"/>
          <a:chOff x="1304924" y="1639958"/>
          <a:chExt cx="324542" cy="534227"/>
        </a:xfrm>
      </xdr:grpSpPr>
      <xdr:sp macro="" textlink="">
        <xdr:nvSpPr>
          <xdr:cNvPr id="345" name="Hexagon 344">
            <a:extLst>
              <a:ext uri="{FF2B5EF4-FFF2-40B4-BE49-F238E27FC236}">
                <a16:creationId xmlns:a16="http://schemas.microsoft.com/office/drawing/2014/main" id="{62C3EE7C-5832-A215-A9E8-BB19FCB91950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46" name="Group 345">
            <a:extLst>
              <a:ext uri="{FF2B5EF4-FFF2-40B4-BE49-F238E27FC236}">
                <a16:creationId xmlns:a16="http://schemas.microsoft.com/office/drawing/2014/main" id="{A09A7FAA-4BED-4A06-212C-7D3898C2204F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347" name="Straight Connector 346">
              <a:extLst>
                <a:ext uri="{FF2B5EF4-FFF2-40B4-BE49-F238E27FC236}">
                  <a16:creationId xmlns:a16="http://schemas.microsoft.com/office/drawing/2014/main" id="{CA115FD7-02A0-4649-AC2A-2B62E7BDBC6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8" name="TextBox 347">
              <a:extLst>
                <a:ext uri="{FF2B5EF4-FFF2-40B4-BE49-F238E27FC236}">
                  <a16:creationId xmlns:a16="http://schemas.microsoft.com/office/drawing/2014/main" id="{CD797C90-48F7-6B0A-4B59-D355D6D90251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32</a:t>
              </a:r>
            </a:p>
          </xdr:txBody>
        </xdr:sp>
      </xdr:grpSp>
    </xdr:grpSp>
    <xdr:clientData/>
  </xdr:twoCellAnchor>
  <xdr:twoCellAnchor>
    <xdr:from>
      <xdr:col>29</xdr:col>
      <xdr:colOff>150091</xdr:colOff>
      <xdr:row>29</xdr:row>
      <xdr:rowOff>34636</xdr:rowOff>
    </xdr:from>
    <xdr:to>
      <xdr:col>29</xdr:col>
      <xdr:colOff>153139</xdr:colOff>
      <xdr:row>32</xdr:row>
      <xdr:rowOff>87007</xdr:rowOff>
    </xdr:to>
    <xdr:cxnSp macro="">
      <xdr:nvCxnSpPr>
        <xdr:cNvPr id="351" name="Straight Arrow Connector 350">
          <a:extLst>
            <a:ext uri="{FF2B5EF4-FFF2-40B4-BE49-F238E27FC236}">
              <a16:creationId xmlns:a16="http://schemas.microsoft.com/office/drawing/2014/main" id="{FAFD79D0-2BD3-42EC-85B1-01938F8D3AB8}"/>
            </a:ext>
          </a:extLst>
        </xdr:cNvPr>
        <xdr:cNvCxnSpPr/>
      </xdr:nvCxnSpPr>
      <xdr:spPr>
        <a:xfrm flipH="1" flipV="1">
          <a:off x="18680546" y="5611091"/>
          <a:ext cx="3048" cy="606552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487578</xdr:colOff>
      <xdr:row>29</xdr:row>
      <xdr:rowOff>63956</xdr:rowOff>
    </xdr:from>
    <xdr:to>
      <xdr:col>29</xdr:col>
      <xdr:colOff>489468</xdr:colOff>
      <xdr:row>32</xdr:row>
      <xdr:rowOff>79228</xdr:rowOff>
    </xdr:to>
    <xdr:cxnSp macro="">
      <xdr:nvCxnSpPr>
        <xdr:cNvPr id="352" name="Straight Arrow Connector 351">
          <a:extLst>
            <a:ext uri="{FF2B5EF4-FFF2-40B4-BE49-F238E27FC236}">
              <a16:creationId xmlns:a16="http://schemas.microsoft.com/office/drawing/2014/main" id="{5D5ACDF3-30A9-4FDE-BF42-694D031C38FD}"/>
            </a:ext>
          </a:extLst>
        </xdr:cNvPr>
        <xdr:cNvCxnSpPr/>
      </xdr:nvCxnSpPr>
      <xdr:spPr>
        <a:xfrm flipH="1">
          <a:off x="19018033" y="5640411"/>
          <a:ext cx="1890" cy="569453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webley\AppData\Local\Microsoft\Olk\Attachments\ooa-ac6dd492-1a1f-4c1a-a452-0146e765facb\79ca08f136936d62dbf1efa054956ba6a2c9f391c0178bedc7ed802ed5804826\Microsoft1000m3perday06062025_oilandgas.xlsm" TargetMode="External"/><Relationship Id="rId1" Type="http://schemas.openxmlformats.org/officeDocument/2006/relationships/externalLinkPath" Target="file:///C:\Users\jwebley\AppData\Local\Microsoft\Olk\Attachments\ooa-ac6dd492-1a1f-4c1a-a452-0146e765facb\79ca08f136936d62dbf1efa054956ba6a2c9f391c0178bedc7ed802ed5804826\Microsoft1000m3perday06062025_oilandga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tem Diagram"/>
      <sheetName val="Calculations"/>
      <sheetName val="Properties Reference Tables"/>
      <sheetName val="PFD_Gen3"/>
      <sheetName val="Flow"/>
      <sheetName val="Process Flow and Mass Balance"/>
    </sheetNames>
    <sheetDataSet>
      <sheetData sheetId="0">
        <row r="6">
          <cell r="AA6">
            <v>85</v>
          </cell>
        </row>
        <row r="7">
          <cell r="N7">
            <v>25</v>
          </cell>
        </row>
        <row r="9">
          <cell r="N9">
            <v>30</v>
          </cell>
          <cell r="T9">
            <v>42</v>
          </cell>
        </row>
        <row r="10">
          <cell r="B10">
            <v>30</v>
          </cell>
        </row>
        <row r="12">
          <cell r="Z12">
            <v>80.14</v>
          </cell>
        </row>
        <row r="16">
          <cell r="AF16">
            <v>85</v>
          </cell>
        </row>
        <row r="17">
          <cell r="M17">
            <v>30.183822034538146</v>
          </cell>
        </row>
        <row r="18">
          <cell r="Z18">
            <v>76.06</v>
          </cell>
        </row>
        <row r="21">
          <cell r="I21">
            <v>35.771092416998904</v>
          </cell>
          <cell r="M21">
            <v>30</v>
          </cell>
        </row>
        <row r="26">
          <cell r="F26">
            <v>5.0279999999999996</v>
          </cell>
          <cell r="I26">
            <v>32</v>
          </cell>
        </row>
        <row r="27">
          <cell r="F27">
            <v>25</v>
          </cell>
        </row>
        <row r="28">
          <cell r="AB28">
            <v>82</v>
          </cell>
          <cell r="AE28">
            <v>90</v>
          </cell>
        </row>
        <row r="29">
          <cell r="AE29">
            <v>8.3789999999999996</v>
          </cell>
        </row>
      </sheetData>
      <sheetData sheetId="1">
        <row r="15">
          <cell r="B15">
            <v>1</v>
          </cell>
        </row>
        <row r="17">
          <cell r="B17">
            <v>0.19999999999999984</v>
          </cell>
          <cell r="F17">
            <v>0.01</v>
          </cell>
        </row>
        <row r="18">
          <cell r="B18">
            <v>5.540166204986155E-2</v>
          </cell>
        </row>
        <row r="19">
          <cell r="B19">
            <v>1.0526315789473684</v>
          </cell>
        </row>
        <row r="21">
          <cell r="B21">
            <v>5.2631578947368418E-2</v>
          </cell>
        </row>
        <row r="22">
          <cell r="B22">
            <v>1.10803324099723</v>
          </cell>
        </row>
        <row r="23">
          <cell r="B23">
            <v>0.79999999990000004</v>
          </cell>
        </row>
        <row r="25">
          <cell r="B25">
            <v>11.332566801413947</v>
          </cell>
        </row>
        <row r="34">
          <cell r="B34">
            <v>0.73200712346873331</v>
          </cell>
        </row>
        <row r="35">
          <cell r="B35">
            <v>12.385198380361317</v>
          </cell>
        </row>
        <row r="41">
          <cell r="B41">
            <v>0.711112413433029</v>
          </cell>
        </row>
        <row r="42">
          <cell r="B42">
            <v>1.4106000424111789</v>
          </cell>
        </row>
        <row r="45">
          <cell r="B45">
            <v>30.23278655343719</v>
          </cell>
        </row>
        <row r="57">
          <cell r="B57">
            <v>995.7</v>
          </cell>
        </row>
        <row r="59">
          <cell r="B59">
            <v>0.72963793880223382</v>
          </cell>
        </row>
        <row r="60">
          <cell r="B60">
            <v>12.440600042411178</v>
          </cell>
        </row>
        <row r="66">
          <cell r="B66">
            <v>0.1</v>
          </cell>
        </row>
        <row r="67">
          <cell r="B67">
            <v>2</v>
          </cell>
        </row>
        <row r="71">
          <cell r="B71">
            <v>1074.9000000000001</v>
          </cell>
        </row>
        <row r="76">
          <cell r="B76">
            <v>0.94736842105263164</v>
          </cell>
        </row>
        <row r="77">
          <cell r="B77">
            <v>0.21111111111111111</v>
          </cell>
        </row>
        <row r="83">
          <cell r="B83">
            <v>1</v>
          </cell>
        </row>
        <row r="84">
          <cell r="B84">
            <v>35.43456736547234</v>
          </cell>
        </row>
        <row r="85">
          <cell r="B85">
            <v>0.2</v>
          </cell>
        </row>
        <row r="86">
          <cell r="B86">
            <v>1146.6999999999998</v>
          </cell>
        </row>
        <row r="107">
          <cell r="B107">
            <v>30.183822034538146</v>
          </cell>
        </row>
        <row r="171">
          <cell r="D171">
            <v>1086.0556077973729</v>
          </cell>
        </row>
        <row r="185">
          <cell r="B185">
            <v>11.332566801413947</v>
          </cell>
        </row>
        <row r="190">
          <cell r="M190">
            <v>16201.817771839529</v>
          </cell>
        </row>
        <row r="191">
          <cell r="D191">
            <v>85</v>
          </cell>
        </row>
        <row r="192">
          <cell r="D192">
            <v>35</v>
          </cell>
        </row>
        <row r="193">
          <cell r="D193">
            <v>1084.5850278786402</v>
          </cell>
        </row>
        <row r="202">
          <cell r="B202">
            <v>11.03</v>
          </cell>
        </row>
        <row r="209">
          <cell r="M209">
            <v>-16201.52321100247</v>
          </cell>
        </row>
        <row r="212">
          <cell r="D212">
            <v>1086.0556077973729</v>
          </cell>
        </row>
        <row r="284">
          <cell r="B284">
            <v>1.3551983803613172</v>
          </cell>
        </row>
        <row r="292">
          <cell r="D292">
            <v>1086.0556077973729</v>
          </cell>
        </row>
        <row r="311">
          <cell r="M311">
            <v>2264.881947907048</v>
          </cell>
        </row>
        <row r="314">
          <cell r="D314">
            <v>980.9</v>
          </cell>
        </row>
        <row r="330">
          <cell r="M330">
            <v>-2264.5142770150887</v>
          </cell>
        </row>
        <row r="333">
          <cell r="D333">
            <v>1085.5868578883587</v>
          </cell>
        </row>
        <row r="381">
          <cell r="D381">
            <v>76.522618214026437</v>
          </cell>
        </row>
        <row r="402">
          <cell r="D402" t="e">
            <v>#VALUE!</v>
          </cell>
        </row>
        <row r="438">
          <cell r="M438">
            <v>1620.1817771839528</v>
          </cell>
        </row>
        <row r="441">
          <cell r="D441">
            <v>1084.5850278786402</v>
          </cell>
        </row>
        <row r="455">
          <cell r="M455">
            <v>-1620.2187210829134</v>
          </cell>
        </row>
        <row r="458">
          <cell r="D458">
            <v>1071.7550000000001</v>
          </cell>
        </row>
        <row r="523">
          <cell r="M523">
            <v>3155.2750646666673</v>
          </cell>
        </row>
        <row r="526">
          <cell r="D526">
            <v>967.4</v>
          </cell>
        </row>
        <row r="540">
          <cell r="M540">
            <v>-3155.3093984166248</v>
          </cell>
        </row>
        <row r="598">
          <cell r="B598">
            <v>1.10803324099723</v>
          </cell>
        </row>
        <row r="603">
          <cell r="M603">
            <v>638.97267897814709</v>
          </cell>
        </row>
        <row r="605">
          <cell r="D605">
            <v>30</v>
          </cell>
        </row>
        <row r="606">
          <cell r="D606">
            <v>993.74</v>
          </cell>
        </row>
        <row r="615">
          <cell r="B615">
            <v>1.8945000000000001</v>
          </cell>
        </row>
        <row r="620">
          <cell r="M620">
            <v>-639.0359452575002</v>
          </cell>
        </row>
        <row r="622">
          <cell r="D622">
            <v>32</v>
          </cell>
        </row>
        <row r="623">
          <cell r="D623">
            <v>996.12</v>
          </cell>
        </row>
      </sheetData>
      <sheetData sheetId="2">
        <row r="62">
          <cell r="L62">
            <v>1071.2</v>
          </cell>
        </row>
      </sheetData>
      <sheetData sheetId="3"/>
      <sheetData sheetId="4"/>
      <sheetData sheetId="5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5A70-00B1-4893-874E-8507F3C9307C}">
  <dimension ref="A1:AR59"/>
  <sheetViews>
    <sheetView tabSelected="1" topLeftCell="A19" zoomScale="45" zoomScaleNormal="45" workbookViewId="0">
      <selection activeCell="AG32" sqref="AG32"/>
    </sheetView>
  </sheetViews>
  <sheetFormatPr defaultRowHeight="14.5" x14ac:dyDescent="0.35"/>
  <cols>
    <col min="1" max="1" width="17.1796875" customWidth="1"/>
    <col min="4" max="4" width="11.54296875" customWidth="1"/>
  </cols>
  <sheetData>
    <row r="1" spans="1:35" ht="32" x14ac:dyDescent="0.65">
      <c r="V1" s="1" t="s">
        <v>0</v>
      </c>
    </row>
    <row r="5" spans="1:35" x14ac:dyDescent="0.35">
      <c r="J5" s="2"/>
      <c r="L5" s="2"/>
      <c r="Z5" s="3"/>
    </row>
    <row r="6" spans="1:35" x14ac:dyDescent="0.35">
      <c r="J6" s="2"/>
      <c r="L6" s="2"/>
      <c r="Z6" s="3"/>
    </row>
    <row r="8" spans="1:35" x14ac:dyDescent="0.35">
      <c r="AA8" s="3"/>
    </row>
    <row r="9" spans="1:35" x14ac:dyDescent="0.35">
      <c r="L9" s="3"/>
      <c r="Z9" s="2"/>
      <c r="AD9" s="2"/>
      <c r="AI9" t="s">
        <v>1</v>
      </c>
    </row>
    <row r="10" spans="1:35" x14ac:dyDescent="0.35">
      <c r="A10" t="s">
        <v>2</v>
      </c>
      <c r="L10" s="2"/>
      <c r="Q10" s="3"/>
      <c r="Z10" s="4"/>
      <c r="AB10" s="5"/>
      <c r="AD10" s="2"/>
      <c r="AE10" s="6"/>
      <c r="AF10" s="6"/>
      <c r="AG10" s="6"/>
      <c r="AH10" s="6"/>
    </row>
    <row r="11" spans="1:35" x14ac:dyDescent="0.35">
      <c r="A11" t="s">
        <v>3</v>
      </c>
      <c r="S11" s="7"/>
      <c r="T11" s="7"/>
      <c r="V11" s="5"/>
      <c r="W11" s="6"/>
      <c r="X11" s="3"/>
      <c r="Y11" s="6"/>
      <c r="Z11" s="7"/>
      <c r="AB11" s="7"/>
      <c r="AF11" s="3"/>
    </row>
    <row r="12" spans="1:35" x14ac:dyDescent="0.35">
      <c r="J12" s="3"/>
    </row>
    <row r="13" spans="1:35" x14ac:dyDescent="0.35">
      <c r="J13" s="3"/>
    </row>
    <row r="14" spans="1:35" x14ac:dyDescent="0.35">
      <c r="J14" s="3"/>
    </row>
    <row r="15" spans="1:35" x14ac:dyDescent="0.35">
      <c r="N15" s="3"/>
      <c r="S15" s="8"/>
      <c r="T15" s="8"/>
      <c r="U15" s="8"/>
      <c r="V15" s="9"/>
      <c r="X15" s="3"/>
      <c r="Y15" s="6"/>
      <c r="Z15" s="6"/>
      <c r="AA15" s="6"/>
      <c r="AB15" s="6"/>
      <c r="AE15" s="5"/>
      <c r="AF15" s="6"/>
      <c r="AG15" s="6"/>
      <c r="AH15" s="6"/>
    </row>
    <row r="16" spans="1:35" x14ac:dyDescent="0.35">
      <c r="J16" s="10"/>
      <c r="N16" s="3"/>
    </row>
    <row r="17" spans="1:35" x14ac:dyDescent="0.35">
      <c r="L17" s="2"/>
      <c r="S17" t="s">
        <v>4</v>
      </c>
      <c r="Z17" s="2"/>
      <c r="AD17" s="2"/>
    </row>
    <row r="18" spans="1:35" x14ac:dyDescent="0.35">
      <c r="A18" t="s">
        <v>5</v>
      </c>
      <c r="J18" s="3"/>
      <c r="O18" s="11"/>
      <c r="S18" t="s">
        <v>6</v>
      </c>
    </row>
    <row r="19" spans="1:35" x14ac:dyDescent="0.35">
      <c r="L19" s="2"/>
      <c r="S19" s="11"/>
      <c r="T19" s="11"/>
      <c r="Z19" s="2"/>
      <c r="AD19" s="2"/>
    </row>
    <row r="20" spans="1:35" x14ac:dyDescent="0.35">
      <c r="M20" s="10"/>
      <c r="V20" s="3"/>
      <c r="X20" s="3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5" x14ac:dyDescent="0.35">
      <c r="M21" s="10"/>
      <c r="V21" s="3"/>
      <c r="X21" s="3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5" x14ac:dyDescent="0.35">
      <c r="M22" s="10"/>
      <c r="V22" s="3"/>
      <c r="X22" s="3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5" x14ac:dyDescent="0.35">
      <c r="M23" s="5"/>
      <c r="AE23" s="5"/>
      <c r="AF23" s="6"/>
    </row>
    <row r="24" spans="1:35" x14ac:dyDescent="0.35">
      <c r="M24" s="5"/>
      <c r="AE24" s="5"/>
      <c r="AF24" s="6"/>
      <c r="AI24" t="s">
        <v>7</v>
      </c>
    </row>
    <row r="25" spans="1:35" x14ac:dyDescent="0.35">
      <c r="P25" t="s">
        <v>8</v>
      </c>
      <c r="S25" s="12"/>
      <c r="T25" s="12"/>
      <c r="W25" s="13"/>
      <c r="AB25" s="3"/>
    </row>
    <row r="26" spans="1:35" x14ac:dyDescent="0.35">
      <c r="A26" t="s">
        <v>8</v>
      </c>
      <c r="J26" s="3"/>
      <c r="O26" s="14"/>
      <c r="P26" s="6"/>
      <c r="S26" s="3"/>
      <c r="T26" s="3"/>
      <c r="X26" s="3"/>
      <c r="Y26" s="6"/>
      <c r="Z26" s="7"/>
      <c r="AA26" s="7"/>
      <c r="AB26" s="7"/>
    </row>
    <row r="27" spans="1:35" x14ac:dyDescent="0.35">
      <c r="L27" s="2"/>
      <c r="V27" s="3"/>
      <c r="Z27" s="2"/>
      <c r="AB27" s="7"/>
      <c r="AD27" s="2"/>
      <c r="AF27" s="5"/>
    </row>
    <row r="28" spans="1:35" x14ac:dyDescent="0.35">
      <c r="L28" s="2"/>
      <c r="Z28" s="2"/>
      <c r="AA28" s="5"/>
      <c r="AD28" s="2"/>
    </row>
    <row r="29" spans="1:35" x14ac:dyDescent="0.35">
      <c r="L29" s="2"/>
      <c r="Q29" s="15"/>
      <c r="R29" s="15"/>
      <c r="AC29" s="12"/>
    </row>
    <row r="30" spans="1:35" x14ac:dyDescent="0.35">
      <c r="J30" s="2"/>
      <c r="L30" s="2"/>
      <c r="Z30" s="7"/>
    </row>
    <row r="31" spans="1:35" x14ac:dyDescent="0.35">
      <c r="O31" s="3"/>
      <c r="Z31" s="7"/>
    </row>
    <row r="32" spans="1:35" x14ac:dyDescent="0.35">
      <c r="Z32" s="7"/>
    </row>
    <row r="33" spans="1:44" x14ac:dyDescent="0.35">
      <c r="J33" s="10"/>
      <c r="L33" s="2"/>
      <c r="Z33" s="16"/>
      <c r="AC33" s="6"/>
      <c r="AD33" s="6"/>
      <c r="AE33" s="5"/>
      <c r="AF33" s="6"/>
    </row>
    <row r="34" spans="1:44" x14ac:dyDescent="0.35">
      <c r="L34" s="2"/>
      <c r="Z34" s="7"/>
      <c r="AC34" s="82" t="s">
        <v>76</v>
      </c>
      <c r="AD34" s="6"/>
      <c r="AE34" s="83" t="s">
        <v>77</v>
      </c>
      <c r="AF34" s="6"/>
    </row>
    <row r="35" spans="1:44" x14ac:dyDescent="0.35">
      <c r="L35" s="2"/>
      <c r="Z35" s="7"/>
      <c r="AC35" s="84" t="s">
        <v>78</v>
      </c>
    </row>
    <row r="36" spans="1:44" x14ac:dyDescent="0.35">
      <c r="AE36" s="11"/>
    </row>
    <row r="37" spans="1:44" x14ac:dyDescent="0.35">
      <c r="AE37" s="2"/>
    </row>
    <row r="38" spans="1:44" x14ac:dyDescent="0.35">
      <c r="A38" s="17" t="s">
        <v>9</v>
      </c>
      <c r="B38" s="17" t="s">
        <v>10</v>
      </c>
      <c r="C38" s="17"/>
      <c r="D38" s="17"/>
      <c r="E38" s="17"/>
      <c r="F38" s="17"/>
      <c r="G38" s="17"/>
      <c r="H38" s="17"/>
      <c r="I38" s="17"/>
      <c r="J38" s="18"/>
      <c r="P38" s="18"/>
      <c r="AE38" s="11"/>
    </row>
    <row r="39" spans="1:44" ht="15" thickBot="1" x14ac:dyDescent="0.4"/>
    <row r="40" spans="1:44" ht="102" thickBot="1" x14ac:dyDescent="0.4">
      <c r="A40" s="19" t="s">
        <v>11</v>
      </c>
      <c r="B40" s="20" t="s">
        <v>5</v>
      </c>
      <c r="C40" s="20" t="s">
        <v>12</v>
      </c>
      <c r="D40" s="20" t="s">
        <v>13</v>
      </c>
      <c r="E40" s="20" t="s">
        <v>14</v>
      </c>
      <c r="F40" s="20" t="s">
        <v>15</v>
      </c>
      <c r="G40" s="20" t="s">
        <v>16</v>
      </c>
      <c r="H40" s="20" t="s">
        <v>17</v>
      </c>
      <c r="I40" s="20" t="s">
        <v>18</v>
      </c>
      <c r="J40" s="20" t="s">
        <v>19</v>
      </c>
      <c r="K40" s="20" t="s">
        <v>20</v>
      </c>
      <c r="L40" s="20" t="s">
        <v>21</v>
      </c>
      <c r="M40" s="20" t="s">
        <v>22</v>
      </c>
      <c r="N40" s="20" t="s">
        <v>23</v>
      </c>
      <c r="O40" s="20" t="s">
        <v>24</v>
      </c>
      <c r="P40" s="20" t="s">
        <v>25</v>
      </c>
      <c r="Q40" s="20" t="s">
        <v>26</v>
      </c>
      <c r="R40" s="20" t="s">
        <v>27</v>
      </c>
      <c r="S40" s="20" t="s">
        <v>28</v>
      </c>
      <c r="T40" s="20" t="s">
        <v>29</v>
      </c>
      <c r="U40" s="20" t="s">
        <v>30</v>
      </c>
      <c r="V40" s="20" t="s">
        <v>31</v>
      </c>
      <c r="W40" s="20" t="s">
        <v>32</v>
      </c>
      <c r="X40" s="20" t="s">
        <v>33</v>
      </c>
      <c r="Y40" s="20" t="s">
        <v>34</v>
      </c>
      <c r="Z40" s="20" t="s">
        <v>35</v>
      </c>
      <c r="AA40" s="20" t="s">
        <v>36</v>
      </c>
      <c r="AB40" s="20" t="s">
        <v>37</v>
      </c>
      <c r="AC40" s="20" t="s">
        <v>38</v>
      </c>
      <c r="AD40" s="20" t="s">
        <v>39</v>
      </c>
      <c r="AE40" s="20" t="s">
        <v>40</v>
      </c>
      <c r="AF40" s="20" t="s">
        <v>41</v>
      </c>
      <c r="AG40" s="20" t="s">
        <v>42</v>
      </c>
      <c r="AH40" s="20" t="s">
        <v>43</v>
      </c>
      <c r="AI40" s="20"/>
      <c r="AJ40" s="20" t="s">
        <v>44</v>
      </c>
      <c r="AK40" s="20" t="s">
        <v>45</v>
      </c>
      <c r="AL40" s="20" t="s">
        <v>46</v>
      </c>
      <c r="AM40" s="20" t="s">
        <v>47</v>
      </c>
      <c r="AN40" s="20" t="s">
        <v>48</v>
      </c>
      <c r="AO40" s="20" t="s">
        <v>49</v>
      </c>
      <c r="AP40" s="20" t="s">
        <v>50</v>
      </c>
      <c r="AQ40" s="20" t="s">
        <v>51</v>
      </c>
      <c r="AR40" s="20" t="s">
        <v>52</v>
      </c>
    </row>
    <row r="41" spans="1:44" ht="15" thickBot="1" x14ac:dyDescent="0.4">
      <c r="A41" s="21" t="s">
        <v>53</v>
      </c>
      <c r="B41" s="22">
        <v>1</v>
      </c>
      <c r="C41" s="22">
        <v>2</v>
      </c>
      <c r="D41" s="22">
        <v>3</v>
      </c>
      <c r="E41" s="22">
        <v>4</v>
      </c>
      <c r="F41" s="22">
        <v>5</v>
      </c>
      <c r="G41" s="22">
        <v>6</v>
      </c>
      <c r="H41" s="22">
        <v>7</v>
      </c>
      <c r="I41" s="22">
        <v>8</v>
      </c>
      <c r="J41" s="22">
        <v>9</v>
      </c>
      <c r="K41" s="22">
        <v>10</v>
      </c>
      <c r="L41" s="22">
        <v>11</v>
      </c>
      <c r="M41" s="22">
        <v>12</v>
      </c>
      <c r="N41" s="22">
        <v>13</v>
      </c>
      <c r="O41" s="22">
        <v>14</v>
      </c>
      <c r="P41" s="22">
        <v>15</v>
      </c>
      <c r="Q41" s="22">
        <v>16</v>
      </c>
      <c r="R41" s="22">
        <v>17</v>
      </c>
      <c r="S41" s="22">
        <v>18</v>
      </c>
      <c r="T41" s="22">
        <v>19</v>
      </c>
      <c r="U41" s="22">
        <v>20</v>
      </c>
      <c r="V41" s="23">
        <v>21</v>
      </c>
      <c r="W41" s="24">
        <v>22</v>
      </c>
      <c r="X41" s="25">
        <v>23</v>
      </c>
      <c r="Y41" s="22">
        <v>24</v>
      </c>
      <c r="Z41" s="22">
        <v>25</v>
      </c>
      <c r="AA41" s="22">
        <v>26</v>
      </c>
      <c r="AB41" s="22">
        <v>27</v>
      </c>
      <c r="AC41" s="22">
        <v>28</v>
      </c>
      <c r="AD41" s="22">
        <v>29</v>
      </c>
      <c r="AE41" s="22">
        <v>30</v>
      </c>
      <c r="AF41" s="22">
        <v>31</v>
      </c>
      <c r="AG41" s="22">
        <v>32</v>
      </c>
      <c r="AH41" s="22">
        <v>33</v>
      </c>
      <c r="AI41" s="22"/>
      <c r="AJ41" s="22"/>
      <c r="AK41" s="22">
        <v>34</v>
      </c>
      <c r="AL41" s="22">
        <v>35</v>
      </c>
      <c r="AM41" s="23">
        <v>36</v>
      </c>
      <c r="AN41" s="24">
        <v>37</v>
      </c>
      <c r="AO41" s="25">
        <v>38</v>
      </c>
      <c r="AP41" s="25">
        <v>39</v>
      </c>
      <c r="AQ41" s="25">
        <v>40</v>
      </c>
      <c r="AR41" s="25">
        <v>41</v>
      </c>
    </row>
    <row r="42" spans="1:44" ht="29" x14ac:dyDescent="0.35">
      <c r="A42" s="26" t="s">
        <v>54</v>
      </c>
      <c r="B42" s="27" t="s">
        <v>55</v>
      </c>
      <c r="C42" s="28" t="str">
        <f t="shared" ref="C42:D44" si="0">B42</f>
        <v>6 - 33</v>
      </c>
      <c r="D42" s="28" t="str">
        <f t="shared" si="0"/>
        <v>6 - 33</v>
      </c>
      <c r="E42" s="29">
        <f>'[1]System Diagram'!M17</f>
        <v>30.183822034538146</v>
      </c>
      <c r="F42" s="29">
        <f>E42</f>
        <v>30.183822034538146</v>
      </c>
      <c r="G42" s="30">
        <f>[1]Calculations!B107</f>
        <v>30.183822034538146</v>
      </c>
      <c r="H42" s="30">
        <f>[1]Calculations!B45</f>
        <v>30.23278655343719</v>
      </c>
      <c r="I42" s="30">
        <f>'[1]System Diagram'!M17</f>
        <v>30.183822034538146</v>
      </c>
      <c r="J42" s="30">
        <f>'[1]System Diagram'!Z12</f>
        <v>80.14</v>
      </c>
      <c r="K42" s="30">
        <f>'[1]System Diagram'!Z18</f>
        <v>76.06</v>
      </c>
      <c r="L42" s="30">
        <f>[1]Calculations!D381</f>
        <v>76.522618214026437</v>
      </c>
      <c r="M42" s="30">
        <f>'[1]System Diagram'!AF16</f>
        <v>85</v>
      </c>
      <c r="N42" s="30">
        <f>'[1]System Diagram'!AB28</f>
        <v>82</v>
      </c>
      <c r="O42" s="30">
        <f>'[1]System Diagram'!AE28</f>
        <v>90</v>
      </c>
      <c r="P42" s="30">
        <f>[1]Calculations!D191</f>
        <v>85</v>
      </c>
      <c r="Q42" s="30">
        <f>[1]Calculations!D192</f>
        <v>35</v>
      </c>
      <c r="R42" s="30">
        <f>'[1]System Diagram'!AA6</f>
        <v>85</v>
      </c>
      <c r="S42" s="30">
        <f>'[1]System Diagram'!T9</f>
        <v>42</v>
      </c>
      <c r="T42" s="30">
        <f>'[1]System Diagram'!N7</f>
        <v>25</v>
      </c>
      <c r="U42" s="30">
        <f>[1]Calculations!D622</f>
        <v>32</v>
      </c>
      <c r="V42" s="30">
        <f>[1]Calculations!D605</f>
        <v>30</v>
      </c>
      <c r="W42" s="30">
        <f>V42</f>
        <v>30</v>
      </c>
      <c r="X42" s="30">
        <f>'[1]System Diagram'!N9</f>
        <v>30</v>
      </c>
      <c r="Y42" s="30">
        <f>'[1]System Diagram'!N9</f>
        <v>30</v>
      </c>
      <c r="Z42" s="30">
        <f>'[1]System Diagram'!N9</f>
        <v>30</v>
      </c>
      <c r="AA42" s="30">
        <f>'[1]System Diagram'!N9</f>
        <v>30</v>
      </c>
      <c r="AB42" s="30">
        <f>'[1]System Diagram'!N9</f>
        <v>30</v>
      </c>
      <c r="AC42" s="30">
        <f>'[1]System Diagram'!B10</f>
        <v>30</v>
      </c>
      <c r="AD42" s="30">
        <f>'[1]System Diagram'!I21</f>
        <v>35.771092416998904</v>
      </c>
      <c r="AE42" s="30">
        <f>[1]Calculations!B84</f>
        <v>35.43456736547234</v>
      </c>
      <c r="AF42" s="31">
        <f>'[1]System Diagram'!M21</f>
        <v>30</v>
      </c>
      <c r="AG42" s="32">
        <f>'[1]System Diagram'!I26</f>
        <v>32</v>
      </c>
      <c r="AH42" s="33">
        <f>'[1]System Diagram'!F27</f>
        <v>25</v>
      </c>
      <c r="AI42" s="30"/>
      <c r="AJ42" s="32"/>
      <c r="AK42" s="33">
        <v>25</v>
      </c>
      <c r="AL42" s="30">
        <v>25</v>
      </c>
      <c r="AM42" s="30">
        <v>25</v>
      </c>
      <c r="AN42" s="30">
        <v>25</v>
      </c>
      <c r="AO42" s="30">
        <v>25</v>
      </c>
      <c r="AP42" s="30">
        <v>25</v>
      </c>
      <c r="AQ42" s="30">
        <v>25</v>
      </c>
      <c r="AR42" s="30">
        <v>25</v>
      </c>
    </row>
    <row r="43" spans="1:44" ht="16.5" x14ac:dyDescent="0.35">
      <c r="A43" s="26" t="s">
        <v>56</v>
      </c>
      <c r="B43" s="34">
        <f>[1]Calculations!B67*Capacity</f>
        <v>83.333333333333329</v>
      </c>
      <c r="C43" s="35">
        <f t="shared" si="0"/>
        <v>83.333333333333329</v>
      </c>
      <c r="D43" s="35">
        <f t="shared" si="0"/>
        <v>83.333333333333329</v>
      </c>
      <c r="E43" s="35">
        <f>[1]Calculations!B35*Capacity</f>
        <v>516.04993251505482</v>
      </c>
      <c r="F43" s="35">
        <f>E43</f>
        <v>516.04993251505482</v>
      </c>
      <c r="G43" s="35">
        <f>[1]Calculations!B284*Capacity</f>
        <v>56.466599181721548</v>
      </c>
      <c r="H43" s="35">
        <f>[1]Calculations!B42*Capacity</f>
        <v>58.775001767132451</v>
      </c>
      <c r="I43" s="35">
        <f>[1]Calculations!B202*Capacity</f>
        <v>459.58333333333326</v>
      </c>
      <c r="J43" s="35">
        <f>H43</f>
        <v>58.775001767132451</v>
      </c>
      <c r="K43" s="35">
        <f>I43</f>
        <v>459.58333333333326</v>
      </c>
      <c r="L43" s="35">
        <f>[1]Calculations!B60*Capacity</f>
        <v>518.35833510046575</v>
      </c>
      <c r="M43" s="35">
        <f>[1]Calculations!B60*Capacity</f>
        <v>518.35833510046575</v>
      </c>
      <c r="N43" s="35">
        <f>'[1]System Diagram'!AE29*Capacity</f>
        <v>349.12499999999994</v>
      </c>
      <c r="O43" s="35">
        <f>'[1]System Diagram'!AE29*Capacity</f>
        <v>349.12499999999994</v>
      </c>
      <c r="P43" s="35">
        <f>[1]Calculations!B185*Capacity</f>
        <v>472.19028339224775</v>
      </c>
      <c r="Q43" s="35">
        <f>P43</f>
        <v>472.19028339224775</v>
      </c>
      <c r="R43" s="35">
        <f>[1]Calculations!B22*Capacity</f>
        <v>46.168051708217916</v>
      </c>
      <c r="S43" s="35">
        <f>[1]Calculations!B22*Capacity</f>
        <v>46.168051708217916</v>
      </c>
      <c r="T43" s="35">
        <f>[1]Calculations!B615*Capacity</f>
        <v>78.9375</v>
      </c>
      <c r="U43" s="35">
        <f>[1]Calculations!B615*Capacity</f>
        <v>78.9375</v>
      </c>
      <c r="V43" s="35">
        <f>[1]Calculations!B598*Capacity</f>
        <v>46.168051708217916</v>
      </c>
      <c r="W43" s="35">
        <f>V43</f>
        <v>46.168051708217916</v>
      </c>
      <c r="X43" s="35">
        <f>[1]Calculations!B19*Capacity</f>
        <v>43.859649122807014</v>
      </c>
      <c r="Y43" s="36">
        <f>[1]Calculations!B18*Capacity</f>
        <v>2.3084025854108976</v>
      </c>
      <c r="Z43" s="35">
        <f>[1]Calculations!B19*Capacity</f>
        <v>43.859649122807014</v>
      </c>
      <c r="AA43" s="35">
        <f>[1]Calculations!B15*Capacity</f>
        <v>41.666666666666664</v>
      </c>
      <c r="AB43" s="35">
        <f>[1]Calculations!B21*Capacity</f>
        <v>2.1929824561403506</v>
      </c>
      <c r="AC43" s="35">
        <f>[1]Calculations!B15*Capacity</f>
        <v>41.666666666666664</v>
      </c>
      <c r="AD43" s="35">
        <f>[1]Calculations!B76*Capacity</f>
        <v>39.473684210526315</v>
      </c>
      <c r="AE43" s="35">
        <f>[1]Calculations!B83*Capacity</f>
        <v>41.666666666666664</v>
      </c>
      <c r="AF43" s="37">
        <f>[1]Calculations!B25*Capacity</f>
        <v>472.19028339224775</v>
      </c>
      <c r="AG43" s="38">
        <f>AG44/[1]Calculations!D458</f>
        <v>209.49999999999997</v>
      </c>
      <c r="AH43" s="39">
        <f>'[1]System Diagram'!F26*Capacity</f>
        <v>209.49999999999997</v>
      </c>
      <c r="AI43" s="35"/>
      <c r="AJ43" s="40" t="s">
        <v>57</v>
      </c>
      <c r="AK43" s="41">
        <f>0.16693*1000*Capacity/(1000/24)</f>
        <v>166.93</v>
      </c>
      <c r="AL43" s="35">
        <f>0.06921*1000*Capacity/(1000/24)</f>
        <v>69.209999999999994</v>
      </c>
      <c r="AM43" s="35">
        <f>0.78515*1000*Capacity/(1000/24)</f>
        <v>785.15</v>
      </c>
      <c r="AN43" s="35">
        <f>0.30878*1000*Capacity/(1000/24)</f>
        <v>308.77999999999997</v>
      </c>
      <c r="AO43" s="35">
        <f>0.05417*1000*Capacity/(1000/24)</f>
        <v>54.170000000000009</v>
      </c>
      <c r="AP43" s="35">
        <f>0.04837*1000*Capacity/(1000/24)</f>
        <v>48.370000000000005</v>
      </c>
      <c r="AQ43" s="35">
        <f>0.01038*1000*Capacity/(1000/24)</f>
        <v>10.38</v>
      </c>
      <c r="AR43" s="35">
        <f>0.00964*1000*Capacity/(1000/24)</f>
        <v>9.6399999999999988</v>
      </c>
    </row>
    <row r="44" spans="1:44" x14ac:dyDescent="0.35">
      <c r="A44" s="42" t="s">
        <v>58</v>
      </c>
      <c r="B44" s="43">
        <f>B43*[1]Calculations!B71</f>
        <v>89575</v>
      </c>
      <c r="C44" s="44">
        <f t="shared" si="0"/>
        <v>89575</v>
      </c>
      <c r="D44" s="44">
        <f t="shared" si="0"/>
        <v>89575</v>
      </c>
      <c r="E44" s="44">
        <f>E43*[1]Calculations!D171</f>
        <v>560458.92311143107</v>
      </c>
      <c r="F44" s="44">
        <f>E44</f>
        <v>560458.92311143107</v>
      </c>
      <c r="G44" s="45">
        <f>G43*[1]Calculations!D292</f>
        <v>61325.866694555232</v>
      </c>
      <c r="H44" s="45">
        <f>H43*[1]Calculations!D333</f>
        <v>63805.369490764053</v>
      </c>
      <c r="I44" s="45">
        <f>I43*[1]Calculations!D212</f>
        <v>499133.05641687586</v>
      </c>
      <c r="J44" s="45">
        <f>H44</f>
        <v>63805.369490764053</v>
      </c>
      <c r="K44" s="45">
        <f>I44</f>
        <v>499133.05641687586</v>
      </c>
      <c r="L44" s="45">
        <f>J44+K44</f>
        <v>562938.4259076399</v>
      </c>
      <c r="M44" s="45">
        <f>L44</f>
        <v>562938.4259076399</v>
      </c>
      <c r="N44" s="45">
        <f>N43*[1]Calculations!D526</f>
        <v>337743.52499999997</v>
      </c>
      <c r="O44" s="45">
        <f>N44</f>
        <v>337743.52499999997</v>
      </c>
      <c r="P44" s="45">
        <f>P43*[1]Calculations!D193</f>
        <v>512130.51167700405</v>
      </c>
      <c r="Q44" s="45">
        <f>P44</f>
        <v>512130.51167700405</v>
      </c>
      <c r="R44" s="45">
        <f>R43*[1]Calculations!D314</f>
        <v>45286.241920590954</v>
      </c>
      <c r="S44" s="45">
        <f>S43*[1]Calculations!D314</f>
        <v>45286.241920590954</v>
      </c>
      <c r="T44" s="45">
        <f>T43*[1]Calculations!D623</f>
        <v>78631.222500000003</v>
      </c>
      <c r="U44" s="45">
        <f>U43*[1]Calculations!D623</f>
        <v>78631.222500000003</v>
      </c>
      <c r="V44" s="45">
        <f>S44</f>
        <v>45286.241920590954</v>
      </c>
      <c r="W44" s="45">
        <f>V44</f>
        <v>45286.241920590954</v>
      </c>
      <c r="X44" s="45">
        <f>X43*[1]Calculations!D606</f>
        <v>43585.087719298244</v>
      </c>
      <c r="Y44" s="45">
        <f>W44-X44</f>
        <v>1701.1542012927093</v>
      </c>
      <c r="Z44" s="45">
        <f>Z43*[1]Calculations!D606</f>
        <v>43585.087719298244</v>
      </c>
      <c r="AA44" s="45">
        <f>AA43*[1]Calculations!B57</f>
        <v>41487.5</v>
      </c>
      <c r="AB44" s="45">
        <f>Z44-AA44</f>
        <v>2097.5877192982443</v>
      </c>
      <c r="AC44" s="45">
        <f>AC43*[1]Calculations!B57</f>
        <v>41487.5</v>
      </c>
      <c r="AD44" s="45" t="e">
        <f>AD43*[1]Calculations!D402</f>
        <v>#VALUE!</v>
      </c>
      <c r="AE44" s="45">
        <f>AE43*[1]Calculations!B86</f>
        <v>47779.166666666657</v>
      </c>
      <c r="AF44" s="46">
        <f>AF43*[1]Calculations!D441</f>
        <v>512130.51167700405</v>
      </c>
      <c r="AG44" s="47">
        <f>AH44</f>
        <v>224532.67249999999</v>
      </c>
      <c r="AH44" s="48">
        <f>AH43*[1]Calculations!D458</f>
        <v>224532.67249999999</v>
      </c>
      <c r="AI44" s="49"/>
      <c r="AJ44" s="40" t="s">
        <v>59</v>
      </c>
      <c r="AK44" s="50">
        <f>0.19841*1000*Capacity/(1000/24)</f>
        <v>198.40999999999997</v>
      </c>
      <c r="AL44" s="49">
        <f>0.06944*1000*Capacity/(1000/24)</f>
        <v>69.44</v>
      </c>
      <c r="AM44" s="49">
        <f>0.81019*1000*Capacity/(1000/24)</f>
        <v>810.18999999999994</v>
      </c>
      <c r="AN44" s="49">
        <f>0.31667*1000*Capacity/(1000/24)</f>
        <v>316.67</v>
      </c>
      <c r="AO44" s="49">
        <f>0.05556*1000*Capacity/(1000/24)</f>
        <v>55.559999999999995</v>
      </c>
      <c r="AP44" s="49">
        <f>0.10399*1000*Capacity/(1000/24)</f>
        <v>103.99</v>
      </c>
      <c r="AQ44" s="49">
        <f>0.01042*1000*Capacity/(1000/24)</f>
        <v>10.42</v>
      </c>
      <c r="AR44" s="49">
        <f>0.01155*1000*Capacity/(1000/24)</f>
        <v>11.549999999999999</v>
      </c>
    </row>
    <row r="45" spans="1:44" x14ac:dyDescent="0.35">
      <c r="A45" s="26" t="s">
        <v>60</v>
      </c>
      <c r="B45" s="51">
        <v>30</v>
      </c>
      <c r="C45" s="52">
        <v>27</v>
      </c>
      <c r="D45" s="52">
        <f>C45</f>
        <v>27</v>
      </c>
      <c r="E45" s="52">
        <v>5</v>
      </c>
      <c r="F45" s="52">
        <v>23</v>
      </c>
      <c r="G45" s="53">
        <f>F45</f>
        <v>23</v>
      </c>
      <c r="H45" s="53">
        <f>G45</f>
        <v>23</v>
      </c>
      <c r="I45" s="53">
        <f>F45</f>
        <v>23</v>
      </c>
      <c r="J45" s="53">
        <v>19</v>
      </c>
      <c r="K45" s="53">
        <v>19</v>
      </c>
      <c r="L45" s="53">
        <v>19</v>
      </c>
      <c r="M45" s="53">
        <v>15</v>
      </c>
      <c r="N45" s="53">
        <v>3</v>
      </c>
      <c r="O45" s="53">
        <v>5</v>
      </c>
      <c r="P45" s="53">
        <v>15</v>
      </c>
      <c r="Q45" s="53">
        <v>10</v>
      </c>
      <c r="R45" s="53">
        <v>15</v>
      </c>
      <c r="S45" s="53">
        <v>13</v>
      </c>
      <c r="T45" s="53">
        <v>5</v>
      </c>
      <c r="U45" s="53">
        <v>3</v>
      </c>
      <c r="V45" s="53">
        <v>11</v>
      </c>
      <c r="W45" s="53">
        <v>110</v>
      </c>
      <c r="X45" s="53">
        <v>5</v>
      </c>
      <c r="Y45" s="53">
        <v>23</v>
      </c>
      <c r="Z45" s="53">
        <v>105</v>
      </c>
      <c r="AA45" s="53">
        <v>10</v>
      </c>
      <c r="AB45" s="53">
        <v>10</v>
      </c>
      <c r="AC45" s="53">
        <v>5</v>
      </c>
      <c r="AD45" s="53">
        <v>10</v>
      </c>
      <c r="AE45" s="53">
        <v>10</v>
      </c>
      <c r="AF45" s="54">
        <v>6</v>
      </c>
      <c r="AG45" s="42">
        <v>3</v>
      </c>
      <c r="AH45" s="55">
        <v>5</v>
      </c>
      <c r="AI45" s="53"/>
      <c r="AJ45" s="42"/>
      <c r="AK45" s="55">
        <v>27</v>
      </c>
      <c r="AL45" s="53">
        <v>27</v>
      </c>
      <c r="AM45" s="53">
        <v>27</v>
      </c>
      <c r="AN45" s="53">
        <v>5</v>
      </c>
      <c r="AO45" s="53">
        <v>5</v>
      </c>
      <c r="AP45" s="53">
        <v>5</v>
      </c>
      <c r="AQ45" s="53">
        <v>5</v>
      </c>
      <c r="AR45" s="53">
        <v>27</v>
      </c>
    </row>
    <row r="46" spans="1:44" x14ac:dyDescent="0.35">
      <c r="A46" s="56" t="s">
        <v>61</v>
      </c>
      <c r="B46" s="57">
        <f>B45/14.50377</f>
        <v>2.0684277260326107</v>
      </c>
      <c r="C46" s="58">
        <f t="shared" ref="C46:AH46" si="1">C45/14.50377</f>
        <v>1.8615849534293498</v>
      </c>
      <c r="D46" s="58">
        <f t="shared" si="1"/>
        <v>1.8615849534293498</v>
      </c>
      <c r="E46" s="58">
        <f t="shared" si="1"/>
        <v>0.34473795433876847</v>
      </c>
      <c r="F46" s="58">
        <f t="shared" si="1"/>
        <v>1.585794589958335</v>
      </c>
      <c r="G46" s="58">
        <f t="shared" si="1"/>
        <v>1.585794589958335</v>
      </c>
      <c r="H46" s="58">
        <f t="shared" si="1"/>
        <v>1.585794589958335</v>
      </c>
      <c r="I46" s="58">
        <f t="shared" si="1"/>
        <v>1.585794589958335</v>
      </c>
      <c r="J46" s="58">
        <f t="shared" si="1"/>
        <v>1.3100042264873202</v>
      </c>
      <c r="K46" s="58">
        <f t="shared" si="1"/>
        <v>1.3100042264873202</v>
      </c>
      <c r="L46" s="58">
        <f t="shared" si="1"/>
        <v>1.3100042264873202</v>
      </c>
      <c r="M46" s="58">
        <f t="shared" si="1"/>
        <v>1.0342138630163054</v>
      </c>
      <c r="N46" s="58">
        <f t="shared" si="1"/>
        <v>0.20684277260326109</v>
      </c>
      <c r="O46" s="58">
        <f t="shared" si="1"/>
        <v>0.34473795433876847</v>
      </c>
      <c r="P46" s="58">
        <f t="shared" si="1"/>
        <v>1.0342138630163054</v>
      </c>
      <c r="Q46" s="58">
        <f t="shared" si="1"/>
        <v>0.68947590867753694</v>
      </c>
      <c r="R46" s="58">
        <f t="shared" si="1"/>
        <v>1.0342138630163054</v>
      </c>
      <c r="S46" s="58">
        <f t="shared" si="1"/>
        <v>0.89631868128079806</v>
      </c>
      <c r="T46" s="58">
        <f t="shared" si="1"/>
        <v>0.34473795433876847</v>
      </c>
      <c r="U46" s="58">
        <f t="shared" si="1"/>
        <v>0.20684277260326109</v>
      </c>
      <c r="V46" s="58">
        <f t="shared" si="1"/>
        <v>0.75842349954529065</v>
      </c>
      <c r="W46" s="58">
        <f t="shared" si="1"/>
        <v>7.5842349954529071</v>
      </c>
      <c r="X46" s="58">
        <f t="shared" si="1"/>
        <v>0.34473795433876847</v>
      </c>
      <c r="Y46" s="58">
        <f t="shared" si="1"/>
        <v>1.585794589958335</v>
      </c>
      <c r="Z46" s="58">
        <f t="shared" si="1"/>
        <v>7.2394970411141379</v>
      </c>
      <c r="AA46" s="58">
        <f t="shared" si="1"/>
        <v>0.68947590867753694</v>
      </c>
      <c r="AB46" s="58">
        <f t="shared" si="1"/>
        <v>0.68947590867753694</v>
      </c>
      <c r="AC46" s="58">
        <f t="shared" si="1"/>
        <v>0.34473795433876847</v>
      </c>
      <c r="AD46" s="58">
        <f t="shared" si="1"/>
        <v>0.68947590867753694</v>
      </c>
      <c r="AE46" s="58">
        <f t="shared" si="1"/>
        <v>0.68947590867753694</v>
      </c>
      <c r="AF46" s="58">
        <f t="shared" si="1"/>
        <v>0.41368554520652218</v>
      </c>
      <c r="AG46" s="58">
        <f t="shared" si="1"/>
        <v>0.20684277260326109</v>
      </c>
      <c r="AH46" s="58">
        <f t="shared" si="1"/>
        <v>0.34473795433876847</v>
      </c>
      <c r="AI46" s="58"/>
      <c r="AJ46" s="59"/>
      <c r="AK46" s="39">
        <f t="shared" ref="AK46:AQ46" si="2">AK45/14.50377</f>
        <v>1.8615849534293498</v>
      </c>
      <c r="AL46" s="58">
        <f t="shared" si="2"/>
        <v>1.8615849534293498</v>
      </c>
      <c r="AM46" s="58">
        <f t="shared" si="2"/>
        <v>1.8615849534293498</v>
      </c>
      <c r="AN46" s="58">
        <f t="shared" si="2"/>
        <v>0.34473795433876847</v>
      </c>
      <c r="AO46" s="58">
        <f t="shared" si="2"/>
        <v>0.34473795433876847</v>
      </c>
      <c r="AP46" s="58">
        <f t="shared" si="2"/>
        <v>0.34473795433876847</v>
      </c>
      <c r="AQ46" s="58">
        <f t="shared" si="2"/>
        <v>0.34473795433876847</v>
      </c>
      <c r="AR46" s="58">
        <f>AR45/14.50377</f>
        <v>1.8615849534293498</v>
      </c>
    </row>
    <row r="47" spans="1:44" x14ac:dyDescent="0.35">
      <c r="A47" s="56" t="s">
        <v>62</v>
      </c>
      <c r="B47" s="43">
        <f>[1]Calculations!B66*1000000</f>
        <v>100000</v>
      </c>
      <c r="C47" s="44">
        <f>B47</f>
        <v>100000</v>
      </c>
      <c r="D47" s="44">
        <f>C47</f>
        <v>100000</v>
      </c>
      <c r="E47" s="44">
        <v>0</v>
      </c>
      <c r="F47" s="44">
        <v>0</v>
      </c>
      <c r="G47" s="45">
        <f>F47</f>
        <v>0</v>
      </c>
      <c r="H47" s="45">
        <f>G47</f>
        <v>0</v>
      </c>
      <c r="I47" s="45">
        <f>E47</f>
        <v>0</v>
      </c>
      <c r="J47" s="45">
        <f t="shared" ref="J47:K49" si="3">H47</f>
        <v>0</v>
      </c>
      <c r="K47" s="45">
        <f t="shared" si="3"/>
        <v>0</v>
      </c>
      <c r="L47" s="45">
        <v>0</v>
      </c>
      <c r="M47" s="45">
        <f>L47</f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f>Y47</f>
        <v>0</v>
      </c>
      <c r="AD47" s="45">
        <f>[1]Calculations!B77*1000000</f>
        <v>211111.11111111112</v>
      </c>
      <c r="AE47" s="45">
        <f>[1]Calculations!B85*1000000</f>
        <v>200000</v>
      </c>
      <c r="AF47" s="46">
        <v>0</v>
      </c>
      <c r="AG47" s="47">
        <v>0</v>
      </c>
      <c r="AH47" s="48">
        <v>0</v>
      </c>
      <c r="AI47" s="45"/>
      <c r="AJ47" s="47"/>
      <c r="AK47" s="48">
        <v>0</v>
      </c>
      <c r="AL47" s="45">
        <v>0</v>
      </c>
      <c r="AM47" s="45">
        <v>0</v>
      </c>
      <c r="AN47" s="45">
        <v>0</v>
      </c>
      <c r="AO47" s="45">
        <v>0</v>
      </c>
      <c r="AP47" s="45">
        <v>0</v>
      </c>
      <c r="AQ47" s="45">
        <v>0</v>
      </c>
      <c r="AR47" s="45">
        <v>0</v>
      </c>
    </row>
    <row r="48" spans="1:44" ht="43.5" x14ac:dyDescent="0.35">
      <c r="A48" s="60" t="s">
        <v>63</v>
      </c>
      <c r="B48" s="61">
        <v>0</v>
      </c>
      <c r="C48" s="62">
        <v>0</v>
      </c>
      <c r="D48" s="62">
        <v>0</v>
      </c>
      <c r="E48" s="63">
        <f>[1]Calculations!B34</f>
        <v>0.73200712346873331</v>
      </c>
      <c r="F48" s="64">
        <f>E48</f>
        <v>0.73200712346873331</v>
      </c>
      <c r="G48" s="65">
        <f>[1]Calculations!B34</f>
        <v>0.73200712346873331</v>
      </c>
      <c r="H48" s="65">
        <f>[1]Calculations!B41</f>
        <v>0.711112413433029</v>
      </c>
      <c r="I48" s="65">
        <f>[1]Calculations!B34</f>
        <v>0.73200712346873331</v>
      </c>
      <c r="J48" s="65">
        <f t="shared" si="3"/>
        <v>0.711112413433029</v>
      </c>
      <c r="K48" s="65">
        <f t="shared" si="3"/>
        <v>0.73200712346873331</v>
      </c>
      <c r="L48" s="65">
        <f>[1]Calculations!B59</f>
        <v>0.72963793880223382</v>
      </c>
      <c r="M48" s="65">
        <f>L48</f>
        <v>0.72963793880223382</v>
      </c>
      <c r="N48" s="65">
        <v>0</v>
      </c>
      <c r="O48" s="65">
        <v>0</v>
      </c>
      <c r="P48" s="65">
        <f>[1]Calculations!B23</f>
        <v>0.79999999990000004</v>
      </c>
      <c r="Q48" s="65">
        <f>[1]Calculations!B23</f>
        <v>0.79999999990000004</v>
      </c>
      <c r="R48" s="65">
        <f>[1]Calculations!F17</f>
        <v>0.01</v>
      </c>
      <c r="S48" s="65">
        <f>[1]Calculations!F17</f>
        <v>0.01</v>
      </c>
      <c r="T48" s="65">
        <v>0</v>
      </c>
      <c r="U48" s="65">
        <v>0</v>
      </c>
      <c r="V48" s="65">
        <f>[1]Calculations!F17</f>
        <v>0.01</v>
      </c>
      <c r="W48" s="65">
        <f>[1]Calculations!F17</f>
        <v>0.01</v>
      </c>
      <c r="X48" s="65">
        <v>0</v>
      </c>
      <c r="Y48" s="65">
        <f>[1]Calculations!B17</f>
        <v>0.19999999999999984</v>
      </c>
      <c r="Z48" s="65">
        <v>0</v>
      </c>
      <c r="AA48" s="65">
        <v>0</v>
      </c>
      <c r="AB48" s="65">
        <v>0</v>
      </c>
      <c r="AC48" s="65">
        <v>0</v>
      </c>
      <c r="AD48" s="65">
        <v>0</v>
      </c>
      <c r="AE48" s="65">
        <v>0</v>
      </c>
      <c r="AF48" s="66">
        <f>[1]Calculations!B23</f>
        <v>0.79999999990000004</v>
      </c>
      <c r="AG48" s="67">
        <v>0</v>
      </c>
      <c r="AH48" s="68">
        <v>0</v>
      </c>
      <c r="AI48" s="65"/>
      <c r="AJ48" s="67"/>
      <c r="AK48" s="68"/>
      <c r="AL48" s="65"/>
      <c r="AM48" s="65"/>
      <c r="AN48" s="65"/>
      <c r="AO48" s="65"/>
      <c r="AP48" s="65"/>
      <c r="AQ48" s="65"/>
      <c r="AR48" s="65"/>
    </row>
    <row r="49" spans="1:44" ht="15" thickBot="1" x14ac:dyDescent="0.4">
      <c r="A49" s="69" t="s">
        <v>64</v>
      </c>
      <c r="B49" s="70">
        <v>7.8</v>
      </c>
      <c r="C49" s="71">
        <f>B49</f>
        <v>7.8</v>
      </c>
      <c r="D49" s="71">
        <v>6.5</v>
      </c>
      <c r="E49" s="71">
        <v>6.5</v>
      </c>
      <c r="F49" s="71">
        <v>7</v>
      </c>
      <c r="G49" s="72">
        <f>F49</f>
        <v>7</v>
      </c>
      <c r="H49" s="72">
        <f>G49</f>
        <v>7</v>
      </c>
      <c r="I49" s="72">
        <f>F49</f>
        <v>7</v>
      </c>
      <c r="J49" s="72">
        <f t="shared" si="3"/>
        <v>7</v>
      </c>
      <c r="K49" s="72">
        <f t="shared" si="3"/>
        <v>7</v>
      </c>
      <c r="L49" s="72">
        <v>7</v>
      </c>
      <c r="M49" s="72">
        <f>L49</f>
        <v>7</v>
      </c>
      <c r="N49" s="72">
        <v>7</v>
      </c>
      <c r="O49" s="72">
        <v>7</v>
      </c>
      <c r="P49" s="72">
        <v>7</v>
      </c>
      <c r="Q49" s="72">
        <v>7</v>
      </c>
      <c r="R49" s="72">
        <v>7</v>
      </c>
      <c r="S49" s="72">
        <v>7</v>
      </c>
      <c r="T49" s="72">
        <v>7</v>
      </c>
      <c r="U49" s="72">
        <v>7</v>
      </c>
      <c r="V49" s="72">
        <v>7</v>
      </c>
      <c r="W49" s="72">
        <v>7</v>
      </c>
      <c r="X49" s="72">
        <v>7</v>
      </c>
      <c r="Y49" s="72">
        <v>7</v>
      </c>
      <c r="Z49" s="72">
        <v>7</v>
      </c>
      <c r="AA49" s="72">
        <v>7</v>
      </c>
      <c r="AB49" s="72">
        <v>7</v>
      </c>
      <c r="AC49" s="72">
        <v>7</v>
      </c>
      <c r="AD49" s="72">
        <v>7</v>
      </c>
      <c r="AE49" s="72">
        <v>7</v>
      </c>
      <c r="AF49" s="73">
        <v>7</v>
      </c>
      <c r="AG49" s="74">
        <v>7</v>
      </c>
      <c r="AH49" s="75">
        <v>7</v>
      </c>
      <c r="AI49" s="72"/>
      <c r="AJ49" s="74"/>
      <c r="AK49" s="75"/>
      <c r="AL49" s="72"/>
      <c r="AM49" s="72"/>
      <c r="AN49" s="72"/>
      <c r="AO49" s="72"/>
      <c r="AP49" s="72"/>
      <c r="AQ49" s="72"/>
      <c r="AR49" s="72"/>
    </row>
    <row r="50" spans="1:44" ht="16.5" x14ac:dyDescent="0.35">
      <c r="A50" s="18" t="s">
        <v>65</v>
      </c>
      <c r="B50" s="18"/>
      <c r="C50" s="18"/>
      <c r="D50" s="18" t="s">
        <v>66</v>
      </c>
      <c r="E50" s="18"/>
      <c r="F50" s="18"/>
      <c r="J50" s="76">
        <f>-[1]Calculations!M330</f>
        <v>2264.5142770150887</v>
      </c>
      <c r="K50" s="76">
        <f>-[1]Calculations!M209</f>
        <v>16201.52321100247</v>
      </c>
      <c r="M50" s="76">
        <f>-[1]Calculations!M540</f>
        <v>3155.3093984166248</v>
      </c>
      <c r="O50" s="76">
        <f>-[1]Calculations!M523</f>
        <v>-3155.2750646666673</v>
      </c>
      <c r="Q50" s="76">
        <f>-[1]Calculations!M190</f>
        <v>-16201.817771839529</v>
      </c>
      <c r="S50" s="76">
        <f>-[1]Calculations!M311</f>
        <v>-2264.881947907048</v>
      </c>
      <c r="U50" s="76">
        <f>-[1]Calculations!M620</f>
        <v>639.0359452575002</v>
      </c>
      <c r="V50" s="76">
        <f>-[1]Calculations!M603</f>
        <v>-638.97267897814709</v>
      </c>
      <c r="AF50" s="76">
        <f>-[1]Calculations!M438</f>
        <v>-1620.1817771839528</v>
      </c>
      <c r="AH50" s="76">
        <f>-[1]Calculations!M455</f>
        <v>1620.2187210829134</v>
      </c>
    </row>
    <row r="51" spans="1:44" x14ac:dyDescent="0.35">
      <c r="A51" s="18" t="s">
        <v>67</v>
      </c>
      <c r="B51" s="77">
        <f>-O50</f>
        <v>3155.2750646666673</v>
      </c>
      <c r="C51" s="18" t="s">
        <v>68</v>
      </c>
      <c r="D51" s="78">
        <f>B51/Capacity</f>
        <v>75.72660155200002</v>
      </c>
      <c r="E51" s="18"/>
      <c r="F51" s="18"/>
    </row>
    <row r="52" spans="1:44" x14ac:dyDescent="0.35">
      <c r="A52" s="18" t="s">
        <v>69</v>
      </c>
      <c r="B52" s="76">
        <f>U50+AH50</f>
        <v>2259.2546663404137</v>
      </c>
      <c r="C52" t="s">
        <v>68</v>
      </c>
      <c r="D52" s="11">
        <f>B52/Capacity</f>
        <v>54.222111992169928</v>
      </c>
    </row>
    <row r="53" spans="1:44" ht="16.5" x14ac:dyDescent="0.35">
      <c r="A53" s="79">
        <f>1000/24</f>
        <v>41.666666666666664</v>
      </c>
      <c r="B53" s="79" t="s">
        <v>70</v>
      </c>
      <c r="C53" s="79">
        <f>C44/'[1]Properties Reference Tables'!L62*1000</f>
        <v>83621.172516803577</v>
      </c>
      <c r="E53" s="79"/>
      <c r="I53" s="80"/>
      <c r="K53" s="10"/>
      <c r="L53" s="11"/>
      <c r="P53" s="10"/>
      <c r="T53" s="79">
        <f>(S44*S47+AC44*AC47)/T44</f>
        <v>0</v>
      </c>
      <c r="Y53" s="76"/>
      <c r="Z53" s="79">
        <f>N44*N47/Z44</f>
        <v>0</v>
      </c>
      <c r="AB53" s="76"/>
      <c r="AE53" s="11"/>
      <c r="AI53" s="10"/>
    </row>
    <row r="54" spans="1:44" x14ac:dyDescent="0.35">
      <c r="A54" s="18" t="s">
        <v>71</v>
      </c>
      <c r="B54" s="18"/>
      <c r="C54" s="18"/>
      <c r="D54" s="18"/>
      <c r="E54" s="18"/>
      <c r="F54" s="18"/>
      <c r="G54" s="18"/>
      <c r="H54" s="18"/>
      <c r="I54" s="18"/>
      <c r="J54">
        <v>1026</v>
      </c>
      <c r="K54">
        <v>1026</v>
      </c>
      <c r="L54">
        <v>1026</v>
      </c>
      <c r="M54">
        <v>1024</v>
      </c>
      <c r="N54">
        <v>1025</v>
      </c>
      <c r="O54">
        <v>1025</v>
      </c>
      <c r="P54">
        <v>1078.05</v>
      </c>
      <c r="Q54">
        <v>1076.1300000000001</v>
      </c>
      <c r="R54">
        <v>1076.1300000000001</v>
      </c>
      <c r="S54">
        <v>1076.1300000000001</v>
      </c>
      <c r="T54">
        <v>1076.1300000000001</v>
      </c>
      <c r="U54">
        <v>1076.1300000000001</v>
      </c>
      <c r="V54">
        <v>1076.1300000000001</v>
      </c>
      <c r="W54">
        <v>1076.1300000000001</v>
      </c>
      <c r="X54">
        <v>1083.27</v>
      </c>
      <c r="Y54">
        <v>1083.27</v>
      </c>
      <c r="Z54">
        <v>972</v>
      </c>
      <c r="AA54">
        <v>990.2</v>
      </c>
      <c r="AB54">
        <v>993.4</v>
      </c>
      <c r="AC54">
        <v>993.4</v>
      </c>
      <c r="AD54">
        <v>993.4</v>
      </c>
      <c r="AE54">
        <v>1020</v>
      </c>
      <c r="AF54">
        <v>1025.0999999999999</v>
      </c>
      <c r="AG54">
        <v>968</v>
      </c>
      <c r="AH54">
        <v>968.8</v>
      </c>
    </row>
    <row r="55" spans="1:44" x14ac:dyDescent="0.35">
      <c r="A55" s="18" t="s">
        <v>72</v>
      </c>
      <c r="B55" s="18"/>
      <c r="C55" s="18"/>
      <c r="D55" s="18"/>
      <c r="E55" s="18"/>
      <c r="F55" s="18"/>
      <c r="G55" s="18"/>
      <c r="H55" s="18"/>
      <c r="I55" s="18"/>
      <c r="J55">
        <v>2.3199999999999998</v>
      </c>
      <c r="K55">
        <v>1.18</v>
      </c>
      <c r="L55">
        <v>1.1399999999999999</v>
      </c>
      <c r="M55">
        <v>1.18</v>
      </c>
      <c r="N55">
        <v>1.1399999999999999</v>
      </c>
      <c r="O55">
        <v>2.3199999999999998</v>
      </c>
      <c r="P55">
        <v>3.73</v>
      </c>
      <c r="Q55">
        <v>3.9</v>
      </c>
      <c r="R55">
        <v>1.84</v>
      </c>
      <c r="S55">
        <v>2.06</v>
      </c>
      <c r="T55">
        <v>1.84</v>
      </c>
      <c r="U55">
        <v>2.06</v>
      </c>
      <c r="V55">
        <v>3.9</v>
      </c>
      <c r="W55">
        <v>3.9</v>
      </c>
      <c r="X55">
        <v>2.73</v>
      </c>
      <c r="Y55">
        <v>2.73</v>
      </c>
      <c r="Z55">
        <v>1.18</v>
      </c>
      <c r="AA55">
        <v>1.18</v>
      </c>
      <c r="AB55">
        <v>1.18</v>
      </c>
      <c r="AC55">
        <v>1</v>
      </c>
      <c r="AD55">
        <v>0.18</v>
      </c>
      <c r="AE55">
        <v>1.32</v>
      </c>
      <c r="AF55">
        <v>1.32</v>
      </c>
      <c r="AG55">
        <v>17.899999999999999</v>
      </c>
      <c r="AH55">
        <v>17.899999999999999</v>
      </c>
    </row>
    <row r="56" spans="1:44" x14ac:dyDescent="0.35">
      <c r="A56" s="18" t="s">
        <v>73</v>
      </c>
      <c r="B56" s="18"/>
      <c r="C56" s="18"/>
      <c r="D56" s="18"/>
      <c r="E56" s="18"/>
      <c r="F56" s="18"/>
      <c r="G56" s="18"/>
      <c r="H56" s="18"/>
      <c r="I56" s="18"/>
      <c r="J56" s="11">
        <f>0.6944444*50*J55</f>
        <v>80.555550400000001</v>
      </c>
      <c r="K56" s="11">
        <f t="shared" ref="K56:AH56" si="4">0.6944444*50*K55</f>
        <v>40.972219599999995</v>
      </c>
      <c r="L56" s="11">
        <f t="shared" si="4"/>
        <v>39.583330799999999</v>
      </c>
      <c r="M56" s="11">
        <f t="shared" si="4"/>
        <v>40.972219599999995</v>
      </c>
      <c r="N56" s="11">
        <f t="shared" si="4"/>
        <v>39.583330799999999</v>
      </c>
      <c r="O56" s="11">
        <f t="shared" si="4"/>
        <v>80.555550400000001</v>
      </c>
      <c r="P56" s="11">
        <f t="shared" si="4"/>
        <v>129.51388059999999</v>
      </c>
      <c r="Q56" s="11">
        <f t="shared" si="4"/>
        <v>135.41665799999998</v>
      </c>
      <c r="R56" s="11">
        <f t="shared" si="4"/>
        <v>63.8888848</v>
      </c>
      <c r="S56" s="11">
        <f t="shared" si="4"/>
        <v>71.527773199999999</v>
      </c>
      <c r="T56" s="11">
        <f t="shared" si="4"/>
        <v>63.8888848</v>
      </c>
      <c r="U56" s="11">
        <f t="shared" si="4"/>
        <v>71.527773199999999</v>
      </c>
      <c r="V56" s="11">
        <f t="shared" si="4"/>
        <v>135.41665799999998</v>
      </c>
      <c r="W56" s="11">
        <f t="shared" si="4"/>
        <v>135.41665799999998</v>
      </c>
      <c r="X56" s="11">
        <f t="shared" si="4"/>
        <v>94.7916606</v>
      </c>
      <c r="Y56" s="11">
        <f t="shared" si="4"/>
        <v>94.7916606</v>
      </c>
      <c r="Z56" s="11">
        <f t="shared" si="4"/>
        <v>40.972219599999995</v>
      </c>
      <c r="AA56" s="11">
        <f t="shared" si="4"/>
        <v>40.972219599999995</v>
      </c>
      <c r="AB56" s="11">
        <f t="shared" si="4"/>
        <v>40.972219599999995</v>
      </c>
      <c r="AC56" s="11">
        <f t="shared" si="4"/>
        <v>34.72222</v>
      </c>
      <c r="AD56" s="11">
        <f t="shared" si="4"/>
        <v>6.2499995999999998</v>
      </c>
      <c r="AE56" s="11">
        <f t="shared" si="4"/>
        <v>45.833330400000001</v>
      </c>
      <c r="AF56" s="11">
        <f t="shared" si="4"/>
        <v>45.833330400000001</v>
      </c>
      <c r="AG56" s="11">
        <f t="shared" si="4"/>
        <v>621.527738</v>
      </c>
      <c r="AH56" s="11">
        <f t="shared" si="4"/>
        <v>621.527738</v>
      </c>
    </row>
    <row r="57" spans="1:44" x14ac:dyDescent="0.35">
      <c r="Y57" s="79">
        <v>0.69444439999999996</v>
      </c>
    </row>
    <row r="58" spans="1:44" x14ac:dyDescent="0.35">
      <c r="A58" t="s">
        <v>74</v>
      </c>
      <c r="M58" s="81">
        <f>M44-Y44</f>
        <v>561237.27170634724</v>
      </c>
      <c r="Q58" t="s">
        <v>75</v>
      </c>
      <c r="S58" t="e" vm="1">
        <v>#VALUE!</v>
      </c>
      <c r="Y58" s="79"/>
    </row>
    <row r="59" spans="1:44" x14ac:dyDescent="0.35">
      <c r="Y59" s="7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197B6B6482A643B72B2AEA4AF85BA9" ma:contentTypeVersion="10" ma:contentTypeDescription="Create a new document." ma:contentTypeScope="" ma:versionID="8aec7b3dc37e60dd09ba7e2c84d56f1c">
  <xsd:schema xmlns:xsd="http://www.w3.org/2001/XMLSchema" xmlns:xs="http://www.w3.org/2001/XMLSchema" xmlns:p="http://schemas.microsoft.com/office/2006/metadata/properties" xmlns:ns1="http://schemas.microsoft.com/sharepoint/v3" xmlns:ns2="aea6319c-d19b-4de9-af43-fb6354d6a9b4" targetNamespace="http://schemas.microsoft.com/office/2006/metadata/properties" ma:root="true" ma:fieldsID="277f5b562b3130c2cdb8175ee027b643" ns1:_="" ns2:_="">
    <xsd:import namespace="http://schemas.microsoft.com/sharepoint/v3"/>
    <xsd:import namespace="aea6319c-d19b-4de9-af43-fb6354d6a9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a6319c-d19b-4de9-af43-fb6354d6a9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837E669-55A3-4A04-8DF9-9BE1DF2BDBE5}"/>
</file>

<file path=customXml/itemProps2.xml><?xml version="1.0" encoding="utf-8"?>
<ds:datastoreItem xmlns:ds="http://schemas.openxmlformats.org/officeDocument/2006/customXml" ds:itemID="{50B2B4C6-500A-4501-B863-CE9C01C892C4}"/>
</file>

<file path=customXml/itemProps3.xml><?xml version="1.0" encoding="utf-8"?>
<ds:datastoreItem xmlns:ds="http://schemas.openxmlformats.org/officeDocument/2006/customXml" ds:itemID="{D12C2134-8400-447D-9230-A8083817DD21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Webley</dc:creator>
  <cp:lastModifiedBy>Jui Shan Yong</cp:lastModifiedBy>
  <dcterms:created xsi:type="dcterms:W3CDTF">2025-06-10T19:36:22Z</dcterms:created>
  <dcterms:modified xsi:type="dcterms:W3CDTF">2025-06-15T22:43:01Z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0x010100A2197B6B6482A643B72B2AEA4AF85BA9</vt:lpwstr>
  </property>
</Properties>
</file>