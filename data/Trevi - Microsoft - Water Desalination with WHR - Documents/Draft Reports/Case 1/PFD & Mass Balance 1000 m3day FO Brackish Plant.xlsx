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visystems-my.sharepoint.com/personal/syong_trevisystems_com/Documents/Documents/"/>
    </mc:Choice>
  </mc:AlternateContent>
  <xr:revisionPtr revIDLastSave="0" documentId="8_{EF12D69A-DDFB-4706-94D0-422CD2C1C4E4}" xr6:coauthVersionLast="47" xr6:coauthVersionMax="47" xr10:uidLastSave="{00000000-0000-0000-0000-000000000000}"/>
  <bookViews>
    <workbookView xWindow="-110" yWindow="-110" windowWidth="19420" windowHeight="11500" xr2:uid="{DE00FA5C-70F4-41E9-82CA-606A7D3517AB}"/>
  </bookViews>
  <sheets>
    <sheet name="PFD Brackish" sheetId="1" r:id="rId1"/>
  </sheets>
  <externalReferences>
    <externalReference r:id="rId2"/>
  </externalReferences>
  <definedNames>
    <definedName name="Capacity">'PFD Brackish'!$A$53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6" i="1" l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A53" i="1"/>
  <c r="AL43" i="1" s="1"/>
  <c r="AH50" i="1"/>
  <c r="AF50" i="1"/>
  <c r="V50" i="1"/>
  <c r="U50" i="1"/>
  <c r="S50" i="1"/>
  <c r="Q50" i="1"/>
  <c r="O50" i="1"/>
  <c r="M50" i="1"/>
  <c r="K50" i="1"/>
  <c r="J50" i="1"/>
  <c r="M49" i="1"/>
  <c r="K49" i="1"/>
  <c r="I49" i="1"/>
  <c r="G49" i="1"/>
  <c r="H49" i="1" s="1"/>
  <c r="J49" i="1" s="1"/>
  <c r="C49" i="1"/>
  <c r="AF48" i="1"/>
  <c r="Y48" i="1"/>
  <c r="W48" i="1"/>
  <c r="V48" i="1"/>
  <c r="S48" i="1"/>
  <c r="R48" i="1"/>
  <c r="Q48" i="1"/>
  <c r="P48" i="1"/>
  <c r="L48" i="1"/>
  <c r="M48" i="1" s="1"/>
  <c r="J48" i="1"/>
  <c r="I48" i="1"/>
  <c r="K48" i="1" s="1"/>
  <c r="H48" i="1"/>
  <c r="G48" i="1"/>
  <c r="F48" i="1"/>
  <c r="E48" i="1"/>
  <c r="AE47" i="1"/>
  <c r="AD47" i="1"/>
  <c r="AC47" i="1"/>
  <c r="M47" i="1"/>
  <c r="I47" i="1"/>
  <c r="K47" i="1" s="1"/>
  <c r="H47" i="1"/>
  <c r="J47" i="1" s="1"/>
  <c r="G47" i="1"/>
  <c r="C47" i="1"/>
  <c r="D47" i="1" s="1"/>
  <c r="B47" i="1"/>
  <c r="AR46" i="1"/>
  <c r="AQ46" i="1"/>
  <c r="AP46" i="1"/>
  <c r="AO46" i="1"/>
  <c r="AN46" i="1"/>
  <c r="AM46" i="1"/>
  <c r="AL46" i="1"/>
  <c r="AK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F46" i="1"/>
  <c r="E46" i="1"/>
  <c r="C46" i="1"/>
  <c r="B46" i="1"/>
  <c r="I45" i="1"/>
  <c r="G45" i="1"/>
  <c r="G46" i="1" s="1"/>
  <c r="D45" i="1"/>
  <c r="D46" i="1" s="1"/>
  <c r="AN44" i="1"/>
  <c r="AE43" i="1"/>
  <c r="AE44" i="1" s="1"/>
  <c r="S43" i="1"/>
  <c r="S44" i="1" s="1"/>
  <c r="G43" i="1"/>
  <c r="G44" i="1" s="1"/>
  <c r="AH42" i="1"/>
  <c r="AG42" i="1"/>
  <c r="AF42" i="1"/>
  <c r="AE42" i="1"/>
  <c r="AD42" i="1"/>
  <c r="AC42" i="1"/>
  <c r="AB42" i="1"/>
  <c r="AA42" i="1"/>
  <c r="Z42" i="1"/>
  <c r="Y42" i="1"/>
  <c r="X42" i="1"/>
  <c r="V42" i="1"/>
  <c r="W42" i="1" s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E42" i="1"/>
  <c r="F42" i="1" s="1"/>
  <c r="D42" i="1"/>
  <c r="C42" i="1"/>
  <c r="V44" i="1" l="1"/>
  <c r="W44" i="1" s="1"/>
  <c r="V43" i="1"/>
  <c r="W43" i="1" s="1"/>
  <c r="AM43" i="1"/>
  <c r="AN43" i="1"/>
  <c r="O43" i="1"/>
  <c r="AA43" i="1"/>
  <c r="AA44" i="1" s="1"/>
  <c r="AO43" i="1"/>
  <c r="AH43" i="1"/>
  <c r="AH44" i="1" s="1"/>
  <c r="AG44" i="1" s="1"/>
  <c r="AG43" i="1" s="1"/>
  <c r="N43" i="1"/>
  <c r="N44" i="1" s="1"/>
  <c r="H45" i="1"/>
  <c r="H46" i="1" s="1"/>
  <c r="P43" i="1"/>
  <c r="AB43" i="1"/>
  <c r="AP43" i="1"/>
  <c r="AK44" i="1"/>
  <c r="AQ44" i="1"/>
  <c r="Y43" i="1"/>
  <c r="B43" i="1"/>
  <c r="E43" i="1"/>
  <c r="AC43" i="1"/>
  <c r="AC44" i="1" s="1"/>
  <c r="T53" i="1" s="1"/>
  <c r="AQ43" i="1"/>
  <c r="AL44" i="1"/>
  <c r="M43" i="1"/>
  <c r="Z43" i="1"/>
  <c r="Z44" i="1" s="1"/>
  <c r="AB44" i="1" s="1"/>
  <c r="R43" i="1"/>
  <c r="R44" i="1" s="1"/>
  <c r="AD43" i="1"/>
  <c r="AD44" i="1" s="1"/>
  <c r="AR43" i="1"/>
  <c r="AM44" i="1"/>
  <c r="H43" i="1"/>
  <c r="T43" i="1"/>
  <c r="T44" i="1" s="1"/>
  <c r="AF43" i="1"/>
  <c r="AF44" i="1" s="1"/>
  <c r="AO44" i="1"/>
  <c r="I43" i="1"/>
  <c r="U43" i="1"/>
  <c r="U44" i="1" s="1"/>
  <c r="AP44" i="1"/>
  <c r="AK43" i="1"/>
  <c r="AR44" i="1"/>
  <c r="L43" i="1"/>
  <c r="X43" i="1"/>
  <c r="X44" i="1" s="1"/>
  <c r="F43" i="1" l="1"/>
  <c r="E44" i="1"/>
  <c r="F44" i="1" s="1"/>
  <c r="B44" i="1"/>
  <c r="C44" i="1" s="1"/>
  <c r="C43" i="1"/>
  <c r="D43" i="1" s="1"/>
  <c r="H44" i="1"/>
  <c r="J44" i="1" s="1"/>
  <c r="L44" i="1" s="1"/>
  <c r="M44" i="1" s="1"/>
  <c r="J43" i="1"/>
  <c r="Y44" i="1"/>
  <c r="P44" i="1"/>
  <c r="Q44" i="1" s="1"/>
  <c r="Q43" i="1"/>
  <c r="O44" i="1"/>
  <c r="Z53" i="1"/>
  <c r="K43" i="1"/>
  <c r="I44" i="1"/>
  <c r="K44" i="1" s="1"/>
  <c r="M58" i="1" l="1"/>
  <c r="D44" i="1"/>
  <c r="C5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<sst xmlns="http://schemas.openxmlformats.org/spreadsheetml/2006/main" count="74" uniqueCount="72">
  <si>
    <r>
      <t>Microsoft 1,000 m</t>
    </r>
    <r>
      <rPr>
        <vertAlign val="superscript"/>
        <sz val="22"/>
        <color theme="1"/>
        <rFont val="Aptos Narrow"/>
        <family val="2"/>
        <scheme val="minor"/>
      </rPr>
      <t>3</t>
    </r>
    <r>
      <rPr>
        <sz val="22"/>
        <color theme="1"/>
        <rFont val="Aptos Narrow"/>
        <family val="2"/>
        <scheme val="minor"/>
      </rPr>
      <t>/Day System</t>
    </r>
  </si>
  <si>
    <t>Supernatant</t>
  </si>
  <si>
    <t>Product</t>
  </si>
  <si>
    <t>Water</t>
  </si>
  <si>
    <t>Dilute</t>
  </si>
  <si>
    <t>Feedwater</t>
  </si>
  <si>
    <t>Solution</t>
  </si>
  <si>
    <t>Strong Solution</t>
  </si>
  <si>
    <t>Brine</t>
  </si>
  <si>
    <t>System Conditions</t>
  </si>
  <si>
    <t>Design Conditions</t>
  </si>
  <si>
    <t>Stream Description</t>
  </si>
  <si>
    <t>Filtered Feed</t>
  </si>
  <si>
    <t>Feed Water to FO Membranes</t>
  </si>
  <si>
    <t>Diluted Draw Solution</t>
  </si>
  <si>
    <t>Diluted Draw to HXs</t>
  </si>
  <si>
    <t>Diluted Draw to Water / Weak      HX-2</t>
  </si>
  <si>
    <t>Diluted Draw and Nano Reject to HX-2</t>
  </si>
  <si>
    <t>Diluted Draw to Strong / Weak HX-1</t>
  </si>
  <si>
    <t>Warm Dilute Draw from HX-2</t>
  </si>
  <si>
    <t>Warm Dilute Draw from HX-1</t>
  </si>
  <si>
    <t>Warm Dilute Draw to Boost HX-3</t>
  </si>
  <si>
    <t>Hot Dilute Draw</t>
  </si>
  <si>
    <t>Hot Water Return from Boost HX-3</t>
  </si>
  <si>
    <t>Hot Water Feed to Boost       HX-3</t>
  </si>
  <si>
    <t>Hot Conc. Draw</t>
  </si>
  <si>
    <t>Cooled Conc Draw</t>
  </si>
  <si>
    <t>Super-natant</t>
  </si>
  <si>
    <t>Cooled Super-natant</t>
  </si>
  <si>
    <t>Cooling Water to HX-4</t>
  </si>
  <si>
    <t>Return Cooling Water from         HX-4</t>
  </si>
  <si>
    <t>Chilled Super-natant</t>
  </si>
  <si>
    <t>Pressurized Super-natant to Nanofilter</t>
  </si>
  <si>
    <t>Nanofilter Permeate</t>
  </si>
  <si>
    <t>Nanofilter Reject</t>
  </si>
  <si>
    <t>Pressurized RO Feed</t>
  </si>
  <si>
    <t>Low Pressure RO Permeate</t>
  </si>
  <si>
    <t>Low Pressure RO Reject</t>
  </si>
  <si>
    <t>Remineralized Product Water</t>
  </si>
  <si>
    <t>FO Membrane Brine</t>
  </si>
  <si>
    <t>System Brine</t>
  </si>
  <si>
    <t>Chilled Strong Draw</t>
  </si>
  <si>
    <t>Return Cooling Water from HX-5</t>
  </si>
  <si>
    <t>Cooling Water to HX-5</t>
  </si>
  <si>
    <t>Chemical Injections</t>
  </si>
  <si>
    <t>Sulfuric Acid (35%)</t>
  </si>
  <si>
    <t>Sodium Hypo Chlorite to Feed Water (5%)</t>
  </si>
  <si>
    <t>Sodium Meta Bisulfite (10%)</t>
  </si>
  <si>
    <t>Sodium Hydroxide to Weak Draw (5%)</t>
  </si>
  <si>
    <t>Sodium Hydroxide to Product Water (5%)</t>
  </si>
  <si>
    <t>Calcium Chloride</t>
  </si>
  <si>
    <t>Sodium Hypo Chlorite to Product Water (12%)</t>
  </si>
  <si>
    <t>Scale Inhibitor</t>
  </si>
  <si>
    <t>Parameter</t>
  </si>
  <si>
    <t>Temperature (deg C)</t>
  </si>
  <si>
    <t>6 - 33</t>
  </si>
  <si>
    <r>
      <t>Flowrate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/h)</t>
    </r>
  </si>
  <si>
    <t>ml/min</t>
  </si>
  <si>
    <t>Mass Flowrate (kg/hr)</t>
  </si>
  <si>
    <t>g/min</t>
  </si>
  <si>
    <t>Pressure (psi)</t>
  </si>
  <si>
    <t>Pressure (bar)</t>
  </si>
  <si>
    <t>TDS (mg/l)</t>
  </si>
  <si>
    <t>Polymer Concentration (wt%)</t>
  </si>
  <si>
    <t>pH</t>
  </si>
  <si>
    <t>Heat Transfer (kW)</t>
  </si>
  <si>
    <r>
      <t>m</t>
    </r>
    <r>
      <rPr>
        <vertAlign val="superscript"/>
        <sz val="11"/>
        <color theme="0"/>
        <rFont val="Aptos Narrow"/>
        <family val="2"/>
        <scheme val="minor"/>
      </rPr>
      <t>3</t>
    </r>
    <r>
      <rPr>
        <sz val="11"/>
        <color theme="0"/>
        <rFont val="Aptos Narrow"/>
        <family val="2"/>
        <scheme val="minor"/>
      </rPr>
      <t>/h</t>
    </r>
  </si>
  <si>
    <t>Density</t>
  </si>
  <si>
    <t>m3/day per m3</t>
  </si>
  <si>
    <t>l/min</t>
  </si>
  <si>
    <t>Trevi Systems, Inc. Proprietary and Confidential</t>
  </si>
  <si>
    <t>Trevi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</si>
</sst>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%"/>
    <numFmt numFmtId="167" formatCode="0.00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vertAlign val="superscript"/>
      <sz val="22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4" fillId="0" borderId="0" xfId="0" applyFont="1"/>
    <xf numFmtId="2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7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65" fontId="7" fillId="0" borderId="0" xfId="0" applyNumberFormat="1" applyFont="1"/>
    <xf numFmtId="0" fontId="0" fillId="0" borderId="0" xfId="0" quotePrefix="1"/>
    <xf numFmtId="0" fontId="0" fillId="0" borderId="0" xfId="0" quotePrefix="1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0" fillId="0" borderId="3" xfId="0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8" xfId="0" applyBorder="1" applyAlignment="1">
      <alignment wrapText="1"/>
    </xf>
    <xf numFmtId="165" fontId="0" fillId="0" borderId="8" xfId="0" applyNumberFormat="1" applyBorder="1" applyAlignment="1">
      <alignment wrapText="1"/>
    </xf>
    <xf numFmtId="165" fontId="0" fillId="0" borderId="8" xfId="0" applyNumberFormat="1" applyBorder="1"/>
    <xf numFmtId="165" fontId="0" fillId="0" borderId="9" xfId="0" applyNumberFormat="1" applyBorder="1"/>
    <xf numFmtId="165" fontId="0" fillId="0" borderId="1" xfId="0" applyNumberFormat="1" applyBorder="1"/>
    <xf numFmtId="165" fontId="0" fillId="0" borderId="10" xfId="0" applyNumberFormat="1" applyBorder="1"/>
    <xf numFmtId="165" fontId="0" fillId="0" borderId="11" xfId="0" applyNumberFormat="1" applyBorder="1" applyAlignment="1">
      <alignment wrapText="1"/>
    </xf>
    <xf numFmtId="165" fontId="0" fillId="0" borderId="12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165" fontId="0" fillId="0" borderId="13" xfId="0" applyNumberFormat="1" applyBorder="1" applyAlignment="1">
      <alignment wrapText="1"/>
    </xf>
    <xf numFmtId="2" fontId="0" fillId="0" borderId="3" xfId="0" applyNumberFormat="1" applyBorder="1"/>
    <xf numFmtId="2" fontId="0" fillId="0" borderId="14" xfId="0" applyNumberFormat="1" applyBorder="1" applyAlignment="1">
      <alignment wrapText="1"/>
    </xf>
    <xf numFmtId="164" fontId="0" fillId="0" borderId="3" xfId="0" applyNumberFormat="1" applyBorder="1"/>
    <xf numFmtId="164" fontId="0" fillId="0" borderId="14" xfId="0" applyNumberFormat="1" applyBorder="1" applyAlignment="1">
      <alignment wrapText="1"/>
    </xf>
    <xf numFmtId="0" fontId="0" fillId="0" borderId="3" xfId="0" applyBorder="1"/>
    <xf numFmtId="1" fontId="0" fillId="0" borderId="11" xfId="0" applyNumberFormat="1" applyBorder="1" applyAlignment="1">
      <alignment wrapText="1"/>
    </xf>
    <xf numFmtId="1" fontId="0" fillId="0" borderId="12" xfId="0" applyNumberFormat="1" applyBorder="1" applyAlignment="1">
      <alignment wrapText="1"/>
    </xf>
    <xf numFmtId="1" fontId="0" fillId="0" borderId="12" xfId="0" applyNumberFormat="1" applyBorder="1"/>
    <xf numFmtId="1" fontId="0" fillId="0" borderId="13" xfId="0" applyNumberFormat="1" applyBorder="1"/>
    <xf numFmtId="1" fontId="0" fillId="0" borderId="3" xfId="0" applyNumberFormat="1" applyBorder="1"/>
    <xf numFmtId="1" fontId="0" fillId="0" borderId="14" xfId="0" applyNumberFormat="1" applyBorder="1"/>
    <xf numFmtId="165" fontId="0" fillId="0" borderId="12" xfId="0" applyNumberFormat="1" applyBorder="1"/>
    <xf numFmtId="165" fontId="0" fillId="0" borderId="14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wrapText="1"/>
    </xf>
    <xf numFmtId="2" fontId="0" fillId="0" borderId="11" xfId="0" applyNumberFormat="1" applyBorder="1" applyAlignment="1">
      <alignment wrapText="1"/>
    </xf>
    <xf numFmtId="2" fontId="0" fillId="0" borderId="12" xfId="0" applyNumberFormat="1" applyBorder="1" applyAlignment="1">
      <alignment wrapText="1"/>
    </xf>
    <xf numFmtId="2" fontId="0" fillId="0" borderId="3" xfId="0" applyNumberFormat="1" applyBorder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/>
    <xf numFmtId="0" fontId="0" fillId="0" borderId="16" xfId="0" applyBorder="1" applyAlignment="1">
      <alignment wrapText="1"/>
    </xf>
    <xf numFmtId="9" fontId="0" fillId="0" borderId="17" xfId="1" applyFont="1" applyBorder="1" applyAlignment="1">
      <alignment wrapText="1"/>
    </xf>
    <xf numFmtId="9" fontId="0" fillId="0" borderId="18" xfId="1" applyFont="1" applyBorder="1" applyAlignment="1">
      <alignment wrapText="1"/>
    </xf>
    <xf numFmtId="166" fontId="0" fillId="0" borderId="18" xfId="0" applyNumberFormat="1" applyBorder="1" applyAlignment="1">
      <alignment wrapText="1"/>
    </xf>
    <xf numFmtId="10" fontId="0" fillId="0" borderId="18" xfId="0" applyNumberFormat="1" applyBorder="1" applyAlignment="1">
      <alignment wrapText="1"/>
    </xf>
    <xf numFmtId="10" fontId="0" fillId="0" borderId="18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10" fontId="0" fillId="0" borderId="21" xfId="0" applyNumberFormat="1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6" xfId="0" applyBorder="1"/>
    <xf numFmtId="0" fontId="3" fillId="0" borderId="0" xfId="0" applyFont="1"/>
    <xf numFmtId="167" fontId="0" fillId="0" borderId="0" xfId="0" applyNumberFormat="1"/>
    <xf numFmtId="165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12</xdr:row>
      <xdr:rowOff>23812</xdr:rowOff>
    </xdr:from>
    <xdr:to>
      <xdr:col>17</xdr:col>
      <xdr:colOff>11906</xdr:colOff>
      <xdr:row>24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1D599B-5B94-4E55-9FAF-5E92AF079EAE}"/>
            </a:ext>
          </a:extLst>
        </xdr:cNvPr>
        <xdr:cNvSpPr/>
      </xdr:nvSpPr>
      <xdr:spPr>
        <a:xfrm>
          <a:off x="10642600" y="2455862"/>
          <a:ext cx="602456" cy="219789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9525</xdr:colOff>
      <xdr:row>12</xdr:row>
      <xdr:rowOff>23811</xdr:rowOff>
    </xdr:from>
    <xdr:to>
      <xdr:col>17</xdr:col>
      <xdr:colOff>590550</xdr:colOff>
      <xdr:row>23</xdr:row>
      <xdr:rowOff>178593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2A447B-DE93-4610-807E-0A145BC75F05}"/>
            </a:ext>
          </a:extLst>
        </xdr:cNvPr>
        <xdr:cNvSpPr/>
      </xdr:nvSpPr>
      <xdr:spPr>
        <a:xfrm>
          <a:off x="11242675" y="2455861"/>
          <a:ext cx="581025" cy="218043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297657</xdr:colOff>
      <xdr:row>17</xdr:row>
      <xdr:rowOff>33338</xdr:rowOff>
    </xdr:from>
    <xdr:to>
      <xdr:col>17</xdr:col>
      <xdr:colOff>326232</xdr:colOff>
      <xdr:row>17</xdr:row>
      <xdr:rowOff>33338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FA6C2E6-8A06-48B2-A8A8-813ED7C92E08}"/>
            </a:ext>
          </a:extLst>
        </xdr:cNvPr>
        <xdr:cNvCxnSpPr/>
      </xdr:nvCxnSpPr>
      <xdr:spPr>
        <a:xfrm>
          <a:off x="10921207" y="3386138"/>
          <a:ext cx="63817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10</xdr:row>
      <xdr:rowOff>38100</xdr:rowOff>
    </xdr:from>
    <xdr:to>
      <xdr:col>17</xdr:col>
      <xdr:colOff>0</xdr:colOff>
      <xdr:row>16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1350C1-B75B-45B7-B9A0-6EDD7B23268C}"/>
            </a:ext>
          </a:extLst>
        </xdr:cNvPr>
        <xdr:cNvSpPr txBox="1"/>
      </xdr:nvSpPr>
      <xdr:spPr>
        <a:xfrm rot="16200000">
          <a:off x="10518775" y="2606675"/>
          <a:ext cx="12192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92D050"/>
              </a:solidFill>
            </a:rPr>
            <a:t>Membrane</a:t>
          </a:r>
        </a:p>
      </xdr:txBody>
    </xdr:sp>
    <xdr:clientData/>
  </xdr:twoCellAnchor>
  <xdr:twoCellAnchor>
    <xdr:from>
      <xdr:col>17</xdr:col>
      <xdr:colOff>57150</xdr:colOff>
      <xdr:row>19</xdr:row>
      <xdr:rowOff>154781</xdr:rowOff>
    </xdr:from>
    <xdr:to>
      <xdr:col>17</xdr:col>
      <xdr:colOff>581025</xdr:colOff>
      <xdr:row>23</xdr:row>
      <xdr:rowOff>40481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25A6CD-06C4-4A69-96BC-E434610EF35B}"/>
            </a:ext>
          </a:extLst>
        </xdr:cNvPr>
        <xdr:cNvSpPr txBox="1"/>
      </xdr:nvSpPr>
      <xdr:spPr>
        <a:xfrm>
          <a:off x="11290300" y="3875881"/>
          <a:ext cx="523875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Draw Soln</a:t>
          </a:r>
        </a:p>
      </xdr:txBody>
    </xdr:sp>
    <xdr:clientData/>
  </xdr:twoCellAnchor>
  <xdr:twoCellAnchor>
    <xdr:from>
      <xdr:col>16</xdr:col>
      <xdr:colOff>197643</xdr:colOff>
      <xdr:row>17</xdr:row>
      <xdr:rowOff>100012</xdr:rowOff>
    </xdr:from>
    <xdr:to>
      <xdr:col>17</xdr:col>
      <xdr:colOff>578643</xdr:colOff>
      <xdr:row>18</xdr:row>
      <xdr:rowOff>119062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526DD2-C1A2-4F47-8AA3-3AB0FA27151E}"/>
            </a:ext>
          </a:extLst>
        </xdr:cNvPr>
        <xdr:cNvSpPr txBox="1"/>
      </xdr:nvSpPr>
      <xdr:spPr>
        <a:xfrm>
          <a:off x="10821193" y="3452812"/>
          <a:ext cx="990600" cy="203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1100">
              <a:solidFill>
                <a:srgbClr val="FFFF00"/>
              </a:solidFill>
            </a:rPr>
            <a:t>Fresh Water</a:t>
          </a:r>
        </a:p>
      </xdr:txBody>
    </xdr:sp>
    <xdr:clientData/>
  </xdr:twoCellAnchor>
  <xdr:twoCellAnchor>
    <xdr:from>
      <xdr:col>17</xdr:col>
      <xdr:colOff>602457</xdr:colOff>
      <xdr:row>17</xdr:row>
      <xdr:rowOff>16669</xdr:rowOff>
    </xdr:from>
    <xdr:to>
      <xdr:col>20</xdr:col>
      <xdr:colOff>605819</xdr:colOff>
      <xdr:row>17</xdr:row>
      <xdr:rowOff>16669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FC71F09-B081-48B1-9779-C4E498AE20BB}"/>
            </a:ext>
          </a:extLst>
        </xdr:cNvPr>
        <xdr:cNvCxnSpPr/>
      </xdr:nvCxnSpPr>
      <xdr:spPr>
        <a:xfrm>
          <a:off x="11835607" y="3369469"/>
          <a:ext cx="18321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22411</xdr:colOff>
      <xdr:row>15</xdr:row>
      <xdr:rowOff>12887</xdr:rowOff>
    </xdr:from>
    <xdr:to>
      <xdr:col>21</xdr:col>
      <xdr:colOff>22411</xdr:colOff>
      <xdr:row>19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6F03E42-1041-4E25-B63A-71FB1410ABCB}"/>
            </a:ext>
          </a:extLst>
        </xdr:cNvPr>
        <xdr:cNvCxnSpPr/>
      </xdr:nvCxnSpPr>
      <xdr:spPr>
        <a:xfrm>
          <a:off x="13693961" y="2997387"/>
          <a:ext cx="0" cy="7999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19</xdr:row>
      <xdr:rowOff>67654</xdr:rowOff>
    </xdr:from>
    <xdr:to>
      <xdr:col>25</xdr:col>
      <xdr:colOff>120651</xdr:colOff>
      <xdr:row>19</xdr:row>
      <xdr:rowOff>67654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0FFC4DA-11BE-4D45-AFCD-DA98FBC82160}"/>
            </a:ext>
          </a:extLst>
        </xdr:cNvPr>
        <xdr:cNvCxnSpPr/>
      </xdr:nvCxnSpPr>
      <xdr:spPr>
        <a:xfrm>
          <a:off x="13695363" y="3788754"/>
          <a:ext cx="2789238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23813</xdr:colOff>
      <xdr:row>14</xdr:row>
      <xdr:rowOff>185224</xdr:rowOff>
    </xdr:from>
    <xdr:to>
      <xdr:col>25</xdr:col>
      <xdr:colOff>132557</xdr:colOff>
      <xdr:row>14</xdr:row>
      <xdr:rowOff>185224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CD55FEC-E456-42C7-8E52-299BF307948C}"/>
            </a:ext>
          </a:extLst>
        </xdr:cNvPr>
        <xdr:cNvCxnSpPr/>
      </xdr:nvCxnSpPr>
      <xdr:spPr>
        <a:xfrm>
          <a:off x="13695363" y="2985574"/>
          <a:ext cx="280114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12</xdr:row>
      <xdr:rowOff>11906</xdr:rowOff>
    </xdr:from>
    <xdr:to>
      <xdr:col>35</xdr:col>
      <xdr:colOff>9525</xdr:colOff>
      <xdr:row>17</xdr:row>
      <xdr:rowOff>11906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03E0923-0F5D-4146-9483-FFE9FFCF94E4}"/>
            </a:ext>
          </a:extLst>
        </xdr:cNvPr>
        <xdr:cNvSpPr/>
      </xdr:nvSpPr>
      <xdr:spPr>
        <a:xfrm>
          <a:off x="22148800" y="2443956"/>
          <a:ext cx="619125" cy="9207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818584</xdr:colOff>
      <xdr:row>17</xdr:row>
      <xdr:rowOff>11907</xdr:rowOff>
    </xdr:from>
    <xdr:to>
      <xdr:col>35</xdr:col>
      <xdr:colOff>23810</xdr:colOff>
      <xdr:row>22</xdr:row>
      <xdr:rowOff>23813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9EDE61A-7159-4298-9CCE-9A175068FC36}"/>
            </a:ext>
          </a:extLst>
        </xdr:cNvPr>
        <xdr:cNvSpPr/>
      </xdr:nvSpPr>
      <xdr:spPr>
        <a:xfrm>
          <a:off x="22148234" y="3364707"/>
          <a:ext cx="633976" cy="93265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666749</xdr:colOff>
      <xdr:row>11</xdr:row>
      <xdr:rowOff>154778</xdr:rowOff>
    </xdr:from>
    <xdr:to>
      <xdr:col>35</xdr:col>
      <xdr:colOff>135731</xdr:colOff>
      <xdr:row>13</xdr:row>
      <xdr:rowOff>128585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B054423-C8E2-4F0E-A2F7-9842239A23F8}"/>
            </a:ext>
          </a:extLst>
        </xdr:cNvPr>
        <xdr:cNvSpPr txBox="1"/>
      </xdr:nvSpPr>
      <xdr:spPr>
        <a:xfrm>
          <a:off x="22148799" y="2402678"/>
          <a:ext cx="745332" cy="342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</a:t>
          </a:r>
        </a:p>
      </xdr:txBody>
    </xdr:sp>
    <xdr:clientData/>
  </xdr:twoCellAnchor>
  <xdr:twoCellAnchor>
    <xdr:from>
      <xdr:col>34</xdr:col>
      <xdr:colOff>400050</xdr:colOff>
      <xdr:row>13</xdr:row>
      <xdr:rowOff>35718</xdr:rowOff>
    </xdr:from>
    <xdr:to>
      <xdr:col>34</xdr:col>
      <xdr:colOff>400050</xdr:colOff>
      <xdr:row>16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7B96B70-7C00-470D-9B3B-0D28AABF6272}"/>
            </a:ext>
          </a:extLst>
        </xdr:cNvPr>
        <xdr:cNvCxnSpPr/>
      </xdr:nvCxnSpPr>
      <xdr:spPr>
        <a:xfrm flipV="1">
          <a:off x="22548850" y="2651918"/>
          <a:ext cx="0" cy="5167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411957</xdr:colOff>
      <xdr:row>17</xdr:row>
      <xdr:rowOff>19051</xdr:rowOff>
    </xdr:from>
    <xdr:to>
      <xdr:col>34</xdr:col>
      <xdr:colOff>411957</xdr:colOff>
      <xdr:row>19</xdr:row>
      <xdr:rowOff>178594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59956EA-ACD0-4641-AF05-CA9B048BA931}"/>
            </a:ext>
          </a:extLst>
        </xdr:cNvPr>
        <xdr:cNvCxnSpPr/>
      </xdr:nvCxnSpPr>
      <xdr:spPr>
        <a:xfrm>
          <a:off x="22560757" y="3371851"/>
          <a:ext cx="0" cy="52784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633413</xdr:colOff>
      <xdr:row>19</xdr:row>
      <xdr:rowOff>142873</xdr:rowOff>
    </xdr:from>
    <xdr:to>
      <xdr:col>35</xdr:col>
      <xdr:colOff>223837</xdr:colOff>
      <xdr:row>22</xdr:row>
      <xdr:rowOff>59530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592DAEB-C56A-426F-87FB-B390F6D09154}"/>
            </a:ext>
          </a:extLst>
        </xdr:cNvPr>
        <xdr:cNvSpPr txBox="1"/>
      </xdr:nvSpPr>
      <xdr:spPr>
        <a:xfrm>
          <a:off x="22147213" y="3863973"/>
          <a:ext cx="835024" cy="469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 </a:t>
          </a:r>
        </a:p>
        <a:p>
          <a:pPr algn="ctr"/>
          <a:r>
            <a:rPr lang="en-US" sz="1100"/>
            <a:t>Solution</a:t>
          </a:r>
        </a:p>
      </xdr:txBody>
    </xdr:sp>
    <xdr:clientData/>
  </xdr:twoCellAnchor>
  <xdr:twoCellAnchor>
    <xdr:from>
      <xdr:col>34</xdr:col>
      <xdr:colOff>76200</xdr:colOff>
      <xdr:row>15</xdr:row>
      <xdr:rowOff>174625</xdr:rowOff>
    </xdr:from>
    <xdr:to>
      <xdr:col>35</xdr:col>
      <xdr:colOff>238919</xdr:colOff>
      <xdr:row>18</xdr:row>
      <xdr:rowOff>65087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1A8112D-31D4-4C54-AE50-4BB67EC6CF4D}"/>
            </a:ext>
          </a:extLst>
        </xdr:cNvPr>
        <xdr:cNvSpPr txBox="1"/>
      </xdr:nvSpPr>
      <xdr:spPr>
        <a:xfrm>
          <a:off x="22225000" y="3159125"/>
          <a:ext cx="772319" cy="442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Separator</a:t>
          </a:r>
        </a:p>
      </xdr:txBody>
    </xdr:sp>
    <xdr:clientData/>
  </xdr:twoCellAnchor>
  <xdr:twoCellAnchor>
    <xdr:from>
      <xdr:col>25</xdr:col>
      <xdr:colOff>773906</xdr:colOff>
      <xdr:row>15</xdr:row>
      <xdr:rowOff>2381</xdr:rowOff>
    </xdr:from>
    <xdr:to>
      <xdr:col>27</xdr:col>
      <xdr:colOff>-1</xdr:colOff>
      <xdr:row>15</xdr:row>
      <xdr:rowOff>2381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497A875-C4A5-44D6-8017-C43851B87754}"/>
            </a:ext>
          </a:extLst>
        </xdr:cNvPr>
        <xdr:cNvCxnSpPr/>
      </xdr:nvCxnSpPr>
      <xdr:spPr>
        <a:xfrm>
          <a:off x="17137856" y="2986881"/>
          <a:ext cx="623093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797719</xdr:colOff>
      <xdr:row>19</xdr:row>
      <xdr:rowOff>71717</xdr:rowOff>
    </xdr:from>
    <xdr:to>
      <xdr:col>27</xdr:col>
      <xdr:colOff>11906</xdr:colOff>
      <xdr:row>19</xdr:row>
      <xdr:rowOff>71717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E262C4D-A5B1-4DDF-9E0C-965949BEFB93}"/>
            </a:ext>
          </a:extLst>
        </xdr:cNvPr>
        <xdr:cNvCxnSpPr/>
      </xdr:nvCxnSpPr>
      <xdr:spPr>
        <a:xfrm>
          <a:off x="17148969" y="3792817"/>
          <a:ext cx="623887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584200</xdr:colOff>
      <xdr:row>17</xdr:row>
      <xdr:rowOff>7145</xdr:rowOff>
    </xdr:from>
    <xdr:to>
      <xdr:col>34</xdr:col>
      <xdr:colOff>0</xdr:colOff>
      <xdr:row>17</xdr:row>
      <xdr:rowOff>7145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D47A9CE-D2F0-4E5F-9A5D-561BDA313388}"/>
            </a:ext>
          </a:extLst>
        </xdr:cNvPr>
        <xdr:cNvCxnSpPr/>
      </xdr:nvCxnSpPr>
      <xdr:spPr>
        <a:xfrm>
          <a:off x="19564350" y="3359945"/>
          <a:ext cx="25844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388144</xdr:colOff>
      <xdr:row>9</xdr:row>
      <xdr:rowOff>-1</xdr:rowOff>
    </xdr:from>
    <xdr:to>
      <xdr:col>34</xdr:col>
      <xdr:colOff>388144</xdr:colOff>
      <xdr:row>12</xdr:row>
      <xdr:rowOff>2382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6A431FF-2666-47B7-894E-42CE625F97F5}"/>
            </a:ext>
          </a:extLst>
        </xdr:cNvPr>
        <xdr:cNvCxnSpPr/>
      </xdr:nvCxnSpPr>
      <xdr:spPr>
        <a:xfrm flipV="1">
          <a:off x="22536944" y="1879599"/>
          <a:ext cx="0" cy="55483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303696</xdr:colOff>
      <xdr:row>8</xdr:row>
      <xdr:rowOff>180181</xdr:rowOff>
    </xdr:from>
    <xdr:to>
      <xdr:col>34</xdr:col>
      <xdr:colOff>404812</xdr:colOff>
      <xdr:row>8</xdr:row>
      <xdr:rowOff>180181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A3BC0B6-942D-4AE7-808E-01A74B25E6D0}"/>
            </a:ext>
          </a:extLst>
        </xdr:cNvPr>
        <xdr:cNvCxnSpPr/>
      </xdr:nvCxnSpPr>
      <xdr:spPr>
        <a:xfrm flipH="1">
          <a:off x="17455046" y="1875631"/>
          <a:ext cx="5098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452438</xdr:colOff>
      <xdr:row>22</xdr:row>
      <xdr:rowOff>52388</xdr:rowOff>
    </xdr:from>
    <xdr:to>
      <xdr:col>34</xdr:col>
      <xdr:colOff>452438</xdr:colOff>
      <xdr:row>23</xdr:row>
      <xdr:rowOff>23812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4D51618-CCEA-4323-B6B9-F1FAA4172028}"/>
            </a:ext>
          </a:extLst>
        </xdr:cNvPr>
        <xdr:cNvCxnSpPr/>
      </xdr:nvCxnSpPr>
      <xdr:spPr>
        <a:xfrm flipV="1">
          <a:off x="22601238" y="4325938"/>
          <a:ext cx="0" cy="1555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381000</xdr:colOff>
      <xdr:row>23</xdr:row>
      <xdr:rowOff>7143</xdr:rowOff>
    </xdr:from>
    <xdr:to>
      <xdr:col>34</xdr:col>
      <xdr:colOff>452437</xdr:colOff>
      <xdr:row>23</xdr:row>
      <xdr:rowOff>7143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3C962AD-ADE0-4D8F-941A-4DBD55062055}"/>
            </a:ext>
          </a:extLst>
        </xdr:cNvPr>
        <xdr:cNvCxnSpPr/>
      </xdr:nvCxnSpPr>
      <xdr:spPr>
        <a:xfrm flipH="1">
          <a:off x="17532350" y="4464843"/>
          <a:ext cx="506888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366712</xdr:colOff>
      <xdr:row>22</xdr:row>
      <xdr:rowOff>71437</xdr:rowOff>
    </xdr:from>
    <xdr:to>
      <xdr:col>26</xdr:col>
      <xdr:colOff>366712</xdr:colOff>
      <xdr:row>23</xdr:row>
      <xdr:rowOff>23812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0AD51A0-3061-4D2E-B5D8-2FB6C5779041}"/>
            </a:ext>
          </a:extLst>
        </xdr:cNvPr>
        <xdr:cNvCxnSpPr/>
      </xdr:nvCxnSpPr>
      <xdr:spPr>
        <a:xfrm>
          <a:off x="17518062" y="4344987"/>
          <a:ext cx="0" cy="13652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</xdr:colOff>
      <xdr:row>16</xdr:row>
      <xdr:rowOff>57151</xdr:rowOff>
    </xdr:from>
    <xdr:to>
      <xdr:col>29</xdr:col>
      <xdr:colOff>596901</xdr:colOff>
      <xdr:row>20</xdr:row>
      <xdr:rowOff>47625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264B9E4-BC37-41BF-9C91-B59E20A31B00}"/>
            </a:ext>
          </a:extLst>
        </xdr:cNvPr>
        <xdr:cNvSpPr/>
      </xdr:nvSpPr>
      <xdr:spPr>
        <a:xfrm>
          <a:off x="18986500" y="3225801"/>
          <a:ext cx="590551" cy="72707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904875</xdr:colOff>
      <xdr:row>15</xdr:row>
      <xdr:rowOff>11906</xdr:rowOff>
    </xdr:from>
    <xdr:to>
      <xdr:col>30</xdr:col>
      <xdr:colOff>0</xdr:colOff>
      <xdr:row>21</xdr:row>
      <xdr:rowOff>154780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5A73BA6-EAF2-4BFA-90E0-AA21DF7BD4A8}"/>
            </a:ext>
          </a:extLst>
        </xdr:cNvPr>
        <xdr:cNvSpPr txBox="1"/>
      </xdr:nvSpPr>
      <xdr:spPr>
        <a:xfrm>
          <a:off x="18976975" y="2996406"/>
          <a:ext cx="733425" cy="1247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Heated</a:t>
          </a:r>
        </a:p>
        <a:p>
          <a:pPr algn="ctr"/>
          <a:r>
            <a:rPr lang="en-US" sz="1100"/>
            <a:t>Water/ Weak         HX-3</a:t>
          </a:r>
        </a:p>
      </xdr:txBody>
    </xdr:sp>
    <xdr:clientData/>
  </xdr:twoCellAnchor>
  <xdr:twoCellAnchor>
    <xdr:from>
      <xdr:col>29</xdr:col>
      <xdr:colOff>569913</xdr:colOff>
      <xdr:row>19</xdr:row>
      <xdr:rowOff>20638</xdr:rowOff>
    </xdr:from>
    <xdr:to>
      <xdr:col>31</xdr:col>
      <xdr:colOff>0</xdr:colOff>
      <xdr:row>19</xdr:row>
      <xdr:rowOff>20638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B31C22A-80E0-4F66-8BAD-2CDE930D9593}"/>
            </a:ext>
          </a:extLst>
        </xdr:cNvPr>
        <xdr:cNvCxnSpPr/>
      </xdr:nvCxnSpPr>
      <xdr:spPr>
        <a:xfrm>
          <a:off x="19550063" y="3741738"/>
          <a:ext cx="769937" cy="0"/>
        </a:xfrm>
        <a:prstGeom prst="line">
          <a:avLst/>
        </a:prstGeom>
        <a:ln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18</xdr:row>
      <xdr:rowOff>186530</xdr:rowOff>
    </xdr:from>
    <xdr:to>
      <xdr:col>28</xdr:col>
      <xdr:colOff>1007269</xdr:colOff>
      <xdr:row>18</xdr:row>
      <xdr:rowOff>186530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2131F31-E96D-4AAC-84EE-0306689D248F}"/>
            </a:ext>
          </a:extLst>
        </xdr:cNvPr>
        <xdr:cNvCxnSpPr/>
      </xdr:nvCxnSpPr>
      <xdr:spPr>
        <a:xfrm>
          <a:off x="18094324" y="3723480"/>
          <a:ext cx="883445" cy="0"/>
        </a:xfrm>
        <a:prstGeom prst="line">
          <a:avLst/>
        </a:prstGeom>
        <a:ln>
          <a:solidFill>
            <a:srgbClr val="FF0000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142876</xdr:colOff>
      <xdr:row>12</xdr:row>
      <xdr:rowOff>0</xdr:rowOff>
    </xdr:from>
    <xdr:to>
      <xdr:col>25</xdr:col>
      <xdr:colOff>797719</xdr:colOff>
      <xdr:row>16</xdr:row>
      <xdr:rowOff>14288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1C28E10-9FC3-4EC7-B5FA-65D5B361EA48}"/>
            </a:ext>
          </a:extLst>
        </xdr:cNvPr>
        <xdr:cNvSpPr/>
      </xdr:nvSpPr>
      <xdr:spPr>
        <a:xfrm>
          <a:off x="16506826" y="2432050"/>
          <a:ext cx="642143" cy="750888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11907</xdr:colOff>
      <xdr:row>12</xdr:row>
      <xdr:rowOff>71436</xdr:rowOff>
    </xdr:from>
    <xdr:to>
      <xdr:col>26</xdr:col>
      <xdr:colOff>11907</xdr:colOff>
      <xdr:row>15</xdr:row>
      <xdr:rowOff>138112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141A31F-BA89-41EF-9BFA-7E8A1FF73886}"/>
            </a:ext>
          </a:extLst>
        </xdr:cNvPr>
        <xdr:cNvSpPr txBox="1"/>
      </xdr:nvSpPr>
      <xdr:spPr>
        <a:xfrm>
          <a:off x="16375857" y="2503486"/>
          <a:ext cx="787400" cy="619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Water/   Weak           HX-2</a:t>
          </a:r>
        </a:p>
      </xdr:txBody>
    </xdr:sp>
    <xdr:clientData/>
  </xdr:twoCellAnchor>
  <xdr:twoCellAnchor>
    <xdr:from>
      <xdr:col>25</xdr:col>
      <xdr:colOff>154781</xdr:colOff>
      <xdr:row>19</xdr:row>
      <xdr:rowOff>11907</xdr:rowOff>
    </xdr:from>
    <xdr:to>
      <xdr:col>25</xdr:col>
      <xdr:colOff>785812</xdr:colOff>
      <xdr:row>23</xdr:row>
      <xdr:rowOff>-1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92E1251-723A-492B-8A08-4072047CB869}"/>
            </a:ext>
          </a:extLst>
        </xdr:cNvPr>
        <xdr:cNvSpPr/>
      </xdr:nvSpPr>
      <xdr:spPr>
        <a:xfrm>
          <a:off x="16518731" y="3733007"/>
          <a:ext cx="631031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702468</xdr:colOff>
      <xdr:row>13</xdr:row>
      <xdr:rowOff>7144</xdr:rowOff>
    </xdr:from>
    <xdr:to>
      <xdr:col>25</xdr:col>
      <xdr:colOff>119062</xdr:colOff>
      <xdr:row>13</xdr:row>
      <xdr:rowOff>7144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B3DB592-9289-4C77-8398-E9AA0B16B7F0}"/>
            </a:ext>
          </a:extLst>
        </xdr:cNvPr>
        <xdr:cNvCxnSpPr/>
      </xdr:nvCxnSpPr>
      <xdr:spPr>
        <a:xfrm flipH="1">
          <a:off x="15751968" y="2623344"/>
          <a:ext cx="731044" cy="0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11906</xdr:colOff>
      <xdr:row>22</xdr:row>
      <xdr:rowOff>66675</xdr:rowOff>
    </xdr:from>
    <xdr:to>
      <xdr:col>25</xdr:col>
      <xdr:colOff>166687</xdr:colOff>
      <xdr:row>22</xdr:row>
      <xdr:rowOff>66675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D2B1102-D3E4-4F49-A1EC-1CFC69C4BF40}"/>
            </a:ext>
          </a:extLst>
        </xdr:cNvPr>
        <xdr:cNvCxnSpPr/>
      </xdr:nvCxnSpPr>
      <xdr:spPr>
        <a:xfrm flipH="1">
          <a:off x="13683456" y="4340225"/>
          <a:ext cx="2847181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773907</xdr:colOff>
      <xdr:row>22</xdr:row>
      <xdr:rowOff>59531</xdr:rowOff>
    </xdr:from>
    <xdr:to>
      <xdr:col>26</xdr:col>
      <xdr:colOff>381000</xdr:colOff>
      <xdr:row>22</xdr:row>
      <xdr:rowOff>59531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F99D806-7DA9-4488-907A-27D58ADDE3C1}"/>
            </a:ext>
          </a:extLst>
        </xdr:cNvPr>
        <xdr:cNvCxnSpPr/>
      </xdr:nvCxnSpPr>
      <xdr:spPr>
        <a:xfrm flipH="1">
          <a:off x="17137857" y="4333081"/>
          <a:ext cx="39449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305490</xdr:colOff>
      <xdr:row>9</xdr:row>
      <xdr:rowOff>-1</xdr:rowOff>
    </xdr:from>
    <xdr:to>
      <xdr:col>26</xdr:col>
      <xdr:colOff>305490</xdr:colOff>
      <xdr:row>13</xdr:row>
      <xdr:rowOff>2382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5237566-D6F6-412B-AD22-255DCBCA0FC3}"/>
            </a:ext>
          </a:extLst>
        </xdr:cNvPr>
        <xdr:cNvCxnSpPr/>
      </xdr:nvCxnSpPr>
      <xdr:spPr>
        <a:xfrm>
          <a:off x="17456840" y="1879599"/>
          <a:ext cx="0" cy="738983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809626</xdr:colOff>
      <xdr:row>12</xdr:row>
      <xdr:rowOff>178594</xdr:rowOff>
    </xdr:from>
    <xdr:to>
      <xdr:col>26</xdr:col>
      <xdr:colOff>309563</xdr:colOff>
      <xdr:row>12</xdr:row>
      <xdr:rowOff>178594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9AA4BB2-F044-47F6-B9B5-8D798D17A829}"/>
            </a:ext>
          </a:extLst>
        </xdr:cNvPr>
        <xdr:cNvCxnSpPr/>
      </xdr:nvCxnSpPr>
      <xdr:spPr>
        <a:xfrm flipH="1">
          <a:off x="17148176" y="2610644"/>
          <a:ext cx="3127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59532</xdr:rowOff>
    </xdr:from>
    <xdr:to>
      <xdr:col>9</xdr:col>
      <xdr:colOff>23814</xdr:colOff>
      <xdr:row>12</xdr:row>
      <xdr:rowOff>35718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DBC80D0-F33A-4811-A8E1-8B619455E026}"/>
            </a:ext>
          </a:extLst>
        </xdr:cNvPr>
        <xdr:cNvSpPr/>
      </xdr:nvSpPr>
      <xdr:spPr>
        <a:xfrm>
          <a:off x="5651500" y="1754982"/>
          <a:ext cx="728664" cy="71278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661988</xdr:colOff>
      <xdr:row>8</xdr:row>
      <xdr:rowOff>11906</xdr:rowOff>
    </xdr:from>
    <xdr:to>
      <xdr:col>9</xdr:col>
      <xdr:colOff>214312</xdr:colOff>
      <xdr:row>12</xdr:row>
      <xdr:rowOff>71437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D05C971-D47F-4DAF-A4BC-0F9FC44F7071}"/>
            </a:ext>
          </a:extLst>
        </xdr:cNvPr>
        <xdr:cNvSpPr txBox="1"/>
      </xdr:nvSpPr>
      <xdr:spPr>
        <a:xfrm>
          <a:off x="5653088" y="1707356"/>
          <a:ext cx="917574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Carbon</a:t>
          </a:r>
          <a:r>
            <a:rPr lang="en-US" sz="1100" baseline="0"/>
            <a:t> /        Remin.</a:t>
          </a:r>
          <a:endParaRPr lang="en-US" sz="1100"/>
        </a:p>
      </xdr:txBody>
    </xdr:sp>
    <xdr:clientData/>
  </xdr:twoCellAnchor>
  <xdr:twoCellAnchor>
    <xdr:from>
      <xdr:col>1</xdr:col>
      <xdr:colOff>11906</xdr:colOff>
      <xdr:row>16</xdr:row>
      <xdr:rowOff>182077</xdr:rowOff>
    </xdr:from>
    <xdr:to>
      <xdr:col>2</xdr:col>
      <xdr:colOff>11905</xdr:colOff>
      <xdr:row>16</xdr:row>
      <xdr:rowOff>182077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0DC1FAD-48F8-4613-99D2-53AFC5B88E09}"/>
            </a:ext>
          </a:extLst>
        </xdr:cNvPr>
        <xdr:cNvCxnSpPr/>
      </xdr:nvCxnSpPr>
      <xdr:spPr>
        <a:xfrm>
          <a:off x="1243806" y="3350727"/>
          <a:ext cx="717549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148827</xdr:colOff>
      <xdr:row>9</xdr:row>
      <xdr:rowOff>183356</xdr:rowOff>
    </xdr:from>
    <xdr:to>
      <xdr:col>14</xdr:col>
      <xdr:colOff>155902</xdr:colOff>
      <xdr:row>16</xdr:row>
      <xdr:rowOff>95246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A2DF3F4E-BB36-4837-8F13-913F12444463}"/>
            </a:ext>
          </a:extLst>
        </xdr:cNvPr>
        <xdr:cNvCxnSpPr>
          <a:endCxn id="174" idx="0"/>
        </xdr:cNvCxnSpPr>
      </xdr:nvCxnSpPr>
      <xdr:spPr>
        <a:xfrm flipH="1">
          <a:off x="9553177" y="2062956"/>
          <a:ext cx="7075" cy="12009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136525</xdr:rowOff>
    </xdr:from>
    <xdr:to>
      <xdr:col>16</xdr:col>
      <xdr:colOff>321469</xdr:colOff>
      <xdr:row>25</xdr:row>
      <xdr:rowOff>136525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1C1F941-956A-480E-85D6-19B1858DEDA5}"/>
            </a:ext>
          </a:extLst>
        </xdr:cNvPr>
        <xdr:cNvCxnSpPr/>
      </xdr:nvCxnSpPr>
      <xdr:spPr>
        <a:xfrm flipH="1">
          <a:off x="1231900" y="4962525"/>
          <a:ext cx="97131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23813</xdr:colOff>
      <xdr:row>10</xdr:row>
      <xdr:rowOff>66675</xdr:rowOff>
    </xdr:from>
    <xdr:to>
      <xdr:col>8</xdr:col>
      <xdr:colOff>23812</xdr:colOff>
      <xdr:row>10</xdr:row>
      <xdr:rowOff>66675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47DCE18A-B903-44CC-8B31-BCEC8BE1C708}"/>
            </a:ext>
          </a:extLst>
        </xdr:cNvPr>
        <xdr:cNvCxnSpPr/>
      </xdr:nvCxnSpPr>
      <xdr:spPr>
        <a:xfrm flipH="1">
          <a:off x="1255713" y="2130425"/>
          <a:ext cx="44195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297657</xdr:colOff>
      <xdr:row>8</xdr:row>
      <xdr:rowOff>188118</xdr:rowOff>
    </xdr:from>
    <xdr:to>
      <xdr:col>22</xdr:col>
      <xdr:colOff>392906</xdr:colOff>
      <xdr:row>8</xdr:row>
      <xdr:rowOff>188118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67BE85F-216B-49D2-8001-33E5393019F2}"/>
            </a:ext>
          </a:extLst>
        </xdr:cNvPr>
        <xdr:cNvCxnSpPr/>
      </xdr:nvCxnSpPr>
      <xdr:spPr>
        <a:xfrm flipH="1">
          <a:off x="13359607" y="1877218"/>
          <a:ext cx="13969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473869</xdr:colOff>
      <xdr:row>9</xdr:row>
      <xdr:rowOff>9525</xdr:rowOff>
    </xdr:from>
    <xdr:to>
      <xdr:col>12</xdr:col>
      <xdr:colOff>473869</xdr:colOff>
      <xdr:row>10</xdr:row>
      <xdr:rowOff>95250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D45AB66-2BDD-4754-9627-645E15F1A336}"/>
            </a:ext>
          </a:extLst>
        </xdr:cNvPr>
        <xdr:cNvCxnSpPr/>
      </xdr:nvCxnSpPr>
      <xdr:spPr>
        <a:xfrm>
          <a:off x="8659019" y="1889125"/>
          <a:ext cx="0" cy="26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1000125</xdr:colOff>
      <xdr:row>10</xdr:row>
      <xdr:rowOff>83344</xdr:rowOff>
    </xdr:from>
    <xdr:to>
      <xdr:col>12</xdr:col>
      <xdr:colOff>476249</xdr:colOff>
      <xdr:row>10</xdr:row>
      <xdr:rowOff>83344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14D3C092-76DE-4738-96F5-CB15C8859EB9}"/>
            </a:ext>
          </a:extLst>
        </xdr:cNvPr>
        <xdr:cNvCxnSpPr/>
      </xdr:nvCxnSpPr>
      <xdr:spPr>
        <a:xfrm flipH="1">
          <a:off x="6353175" y="2147094"/>
          <a:ext cx="23082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11906</xdr:colOff>
      <xdr:row>25</xdr:row>
      <xdr:rowOff>11906</xdr:rowOff>
    </xdr:from>
    <xdr:to>
      <xdr:col>30</xdr:col>
      <xdr:colOff>23814</xdr:colOff>
      <xdr:row>29</xdr:row>
      <xdr:rowOff>2381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C3C3616C-7FC1-4225-BCF5-56B52FE269FA}"/>
            </a:ext>
          </a:extLst>
        </xdr:cNvPr>
        <xdr:cNvSpPr/>
      </xdr:nvSpPr>
      <xdr:spPr>
        <a:xfrm>
          <a:off x="18992056" y="4837906"/>
          <a:ext cx="742158" cy="7270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502445</xdr:colOff>
      <xdr:row>24</xdr:row>
      <xdr:rowOff>107156</xdr:rowOff>
    </xdr:from>
    <xdr:to>
      <xdr:col>30</xdr:col>
      <xdr:colOff>578645</xdr:colOff>
      <xdr:row>29</xdr:row>
      <xdr:rowOff>45244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D22D542-4863-4DF2-A677-09B471060559}"/>
            </a:ext>
          </a:extLst>
        </xdr:cNvPr>
        <xdr:cNvSpPr txBox="1"/>
      </xdr:nvSpPr>
      <xdr:spPr>
        <a:xfrm>
          <a:off x="18872995" y="4749006"/>
          <a:ext cx="1416050" cy="858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 baseline="0"/>
        </a:p>
        <a:p>
          <a:pPr algn="ctr"/>
          <a:endParaRPr lang="en-US" sz="1100" baseline="0"/>
        </a:p>
        <a:p>
          <a:pPr algn="l"/>
          <a:r>
            <a:rPr lang="en-US" sz="900" baseline="0"/>
            <a:t>Heat Pump</a:t>
          </a:r>
          <a:endParaRPr lang="en-US" sz="900"/>
        </a:p>
      </xdr:txBody>
    </xdr:sp>
    <xdr:clientData/>
  </xdr:twoCellAnchor>
  <xdr:twoCellAnchor>
    <xdr:from>
      <xdr:col>30</xdr:col>
      <xdr:colOff>35719</xdr:colOff>
      <xdr:row>26</xdr:row>
      <xdr:rowOff>178595</xdr:rowOff>
    </xdr:from>
    <xdr:to>
      <xdr:col>31</xdr:col>
      <xdr:colOff>0</xdr:colOff>
      <xdr:row>26</xdr:row>
      <xdr:rowOff>178595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14D009F-2F37-41AA-8404-89E577EE4379}"/>
            </a:ext>
          </a:extLst>
        </xdr:cNvPr>
        <xdr:cNvCxnSpPr/>
      </xdr:nvCxnSpPr>
      <xdr:spPr>
        <a:xfrm>
          <a:off x="19746119" y="5188745"/>
          <a:ext cx="573881" cy="0"/>
        </a:xfrm>
        <a:prstGeom prst="line">
          <a:avLst/>
        </a:prstGeom>
        <a:ln>
          <a:solidFill>
            <a:srgbClr val="FF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4329</xdr:colOff>
      <xdr:row>23</xdr:row>
      <xdr:rowOff>118341</xdr:rowOff>
    </xdr:from>
    <xdr:to>
      <xdr:col>31</xdr:col>
      <xdr:colOff>4763</xdr:colOff>
      <xdr:row>27</xdr:row>
      <xdr:rowOff>7144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A671189-CCBB-44B3-9502-FC32FEF86385}"/>
            </a:ext>
          </a:extLst>
        </xdr:cNvPr>
        <xdr:cNvCxnSpPr/>
      </xdr:nvCxnSpPr>
      <xdr:spPr>
        <a:xfrm flipH="1" flipV="1">
          <a:off x="20324329" y="4576041"/>
          <a:ext cx="434" cy="625403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793750</xdr:colOff>
      <xdr:row>22</xdr:row>
      <xdr:rowOff>63500</xdr:rowOff>
    </xdr:from>
    <xdr:to>
      <xdr:col>31</xdr:col>
      <xdr:colOff>122237</xdr:colOff>
      <xdr:row>23</xdr:row>
      <xdr:rowOff>128443</xdr:rowOff>
    </xdr:to>
    <xdr:sp macro="" textlink="">
      <xdr:nvSpPr>
        <xdr:cNvPr id="52" name="Arc 51">
          <a:extLst>
            <a:ext uri="{FF2B5EF4-FFF2-40B4-BE49-F238E27FC236}">
              <a16:creationId xmlns:a16="http://schemas.microsoft.com/office/drawing/2014/main" id="{2ABC684D-4BDD-4738-BE47-AA6E1435B585}"/>
            </a:ext>
          </a:extLst>
        </xdr:cNvPr>
        <xdr:cNvSpPr/>
      </xdr:nvSpPr>
      <xdr:spPr>
        <a:xfrm>
          <a:off x="20320000" y="4337050"/>
          <a:ext cx="122237" cy="24909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1190</xdr:colOff>
      <xdr:row>19</xdr:row>
      <xdr:rowOff>35718</xdr:rowOff>
    </xdr:from>
    <xdr:to>
      <xdr:col>31</xdr:col>
      <xdr:colOff>1190</xdr:colOff>
      <xdr:row>22</xdr:row>
      <xdr:rowOff>65882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6D2DD18-F8C9-4D25-8E0B-F157B12A873E}"/>
            </a:ext>
          </a:extLst>
        </xdr:cNvPr>
        <xdr:cNvCxnSpPr/>
      </xdr:nvCxnSpPr>
      <xdr:spPr>
        <a:xfrm flipV="1">
          <a:off x="20321190" y="3756818"/>
          <a:ext cx="0" cy="582614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322590</xdr:colOff>
      <xdr:row>23</xdr:row>
      <xdr:rowOff>74800</xdr:rowOff>
    </xdr:from>
    <xdr:to>
      <xdr:col>27</xdr:col>
      <xdr:colOff>322590</xdr:colOff>
      <xdr:row>27</xdr:row>
      <xdr:rowOff>11906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83D2DF7-F022-4C3E-927C-3467D3630548}"/>
            </a:ext>
          </a:extLst>
        </xdr:cNvPr>
        <xdr:cNvCxnSpPr>
          <a:endCxn id="55" idx="2"/>
        </xdr:cNvCxnSpPr>
      </xdr:nvCxnSpPr>
      <xdr:spPr>
        <a:xfrm flipV="1">
          <a:off x="18083540" y="4532500"/>
          <a:ext cx="0" cy="67370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201006</xdr:colOff>
      <xdr:row>22</xdr:row>
      <xdr:rowOff>50987</xdr:rowOff>
    </xdr:from>
    <xdr:to>
      <xdr:col>27</xdr:col>
      <xdr:colOff>444174</xdr:colOff>
      <xdr:row>23</xdr:row>
      <xdr:rowOff>74800</xdr:rowOff>
    </xdr:to>
    <xdr:sp macro="" textlink="">
      <xdr:nvSpPr>
        <xdr:cNvPr id="55" name="Arc 54">
          <a:extLst>
            <a:ext uri="{FF2B5EF4-FFF2-40B4-BE49-F238E27FC236}">
              <a16:creationId xmlns:a16="http://schemas.microsoft.com/office/drawing/2014/main" id="{11C31B87-0899-4505-A8E7-006F188FAC30}"/>
            </a:ext>
          </a:extLst>
        </xdr:cNvPr>
        <xdr:cNvSpPr/>
      </xdr:nvSpPr>
      <xdr:spPr>
        <a:xfrm>
          <a:off x="17961956" y="4324537"/>
          <a:ext cx="243168" cy="207963"/>
        </a:xfrm>
        <a:prstGeom prst="arc">
          <a:avLst>
            <a:gd name="adj1" fmla="val 16200000"/>
            <a:gd name="adj2" fmla="val 5400000"/>
          </a:avLst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308162</xdr:colOff>
      <xdr:row>15</xdr:row>
      <xdr:rowOff>108138</xdr:rowOff>
    </xdr:from>
    <xdr:to>
      <xdr:col>27</xdr:col>
      <xdr:colOff>308162</xdr:colOff>
      <xdr:row>15</xdr:row>
      <xdr:rowOff>108138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47C04AF-0E55-459A-9681-C728443A6C64}"/>
            </a:ext>
          </a:extLst>
        </xdr:cNvPr>
        <xdr:cNvCxnSpPr/>
      </xdr:nvCxnSpPr>
      <xdr:spPr>
        <a:xfrm>
          <a:off x="18069112" y="3092638"/>
          <a:ext cx="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323209</xdr:colOff>
      <xdr:row>19</xdr:row>
      <xdr:rowOff>0</xdr:rowOff>
    </xdr:from>
    <xdr:to>
      <xdr:col>27</xdr:col>
      <xdr:colOff>327211</xdr:colOff>
      <xdr:row>22</xdr:row>
      <xdr:rowOff>71437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B4C78D5-09B6-4A0E-94A8-F889EEBB2ECC}"/>
            </a:ext>
          </a:extLst>
        </xdr:cNvPr>
        <xdr:cNvCxnSpPr/>
      </xdr:nvCxnSpPr>
      <xdr:spPr>
        <a:xfrm flipH="1" flipV="1">
          <a:off x="18084159" y="3721100"/>
          <a:ext cx="4002" cy="62388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333374</xdr:colOff>
      <xdr:row>27</xdr:row>
      <xdr:rowOff>0</xdr:rowOff>
    </xdr:from>
    <xdr:to>
      <xdr:col>28</xdr:col>
      <xdr:colOff>1012031</xdr:colOff>
      <xdr:row>27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5104101-2439-4CF2-986E-A039076EAC86}"/>
            </a:ext>
          </a:extLst>
        </xdr:cNvPr>
        <xdr:cNvCxnSpPr/>
      </xdr:nvCxnSpPr>
      <xdr:spPr>
        <a:xfrm>
          <a:off x="18094324" y="5194300"/>
          <a:ext cx="888207" cy="0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14286</xdr:colOff>
      <xdr:row>26</xdr:row>
      <xdr:rowOff>476</xdr:rowOff>
    </xdr:from>
    <xdr:to>
      <xdr:col>30</xdr:col>
      <xdr:colOff>11906</xdr:colOff>
      <xdr:row>28</xdr:row>
      <xdr:rowOff>16668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EB92723E-9628-496E-A663-701F22DB45ED}"/>
            </a:ext>
          </a:extLst>
        </xdr:cNvPr>
        <xdr:cNvGrpSpPr/>
      </xdr:nvGrpSpPr>
      <xdr:grpSpPr>
        <a:xfrm>
          <a:off x="18878432" y="5049500"/>
          <a:ext cx="725547" cy="387900"/>
          <a:chOff x="6715126" y="4191000"/>
          <a:chExt cx="571499" cy="381000"/>
        </a:xfrm>
      </xdr:grpSpPr>
      <xdr:sp macro="" textlink="">
        <xdr:nvSpPr>
          <xdr:cNvPr id="60" name="Arc 59">
            <a:extLst>
              <a:ext uri="{FF2B5EF4-FFF2-40B4-BE49-F238E27FC236}">
                <a16:creationId xmlns:a16="http://schemas.microsoft.com/office/drawing/2014/main" id="{35303622-98C0-D24C-4A94-D51024812FCC}"/>
              </a:ext>
            </a:extLst>
          </xdr:cNvPr>
          <xdr:cNvSpPr/>
        </xdr:nvSpPr>
        <xdr:spPr>
          <a:xfrm>
            <a:off x="6715126" y="419100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Arc 60">
            <a:extLst>
              <a:ext uri="{FF2B5EF4-FFF2-40B4-BE49-F238E27FC236}">
                <a16:creationId xmlns:a16="http://schemas.microsoft.com/office/drawing/2014/main" id="{9D7EA68A-BFBA-BCD8-342E-737751520CE1}"/>
              </a:ext>
            </a:extLst>
          </xdr:cNvPr>
          <xdr:cNvSpPr/>
        </xdr:nvSpPr>
        <xdr:spPr>
          <a:xfrm>
            <a:off x="6905625" y="4200525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4E529330-0C0A-B19C-DBED-6BFD3E8A92FC}"/>
              </a:ext>
            </a:extLst>
          </xdr:cNvPr>
          <xdr:cNvSpPr/>
        </xdr:nvSpPr>
        <xdr:spPr>
          <a:xfrm>
            <a:off x="7096125" y="4210050"/>
            <a:ext cx="190500" cy="361950"/>
          </a:xfrm>
          <a:prstGeom prst="arc">
            <a:avLst>
              <a:gd name="adj1" fmla="val 10781897"/>
              <a:gd name="adj2" fmla="val 0"/>
            </a:avLst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350507</xdr:colOff>
      <xdr:row>14</xdr:row>
      <xdr:rowOff>47625</xdr:rowOff>
    </xdr:from>
    <xdr:to>
      <xdr:col>1</xdr:col>
      <xdr:colOff>619125</xdr:colOff>
      <xdr:row>17</xdr:row>
      <xdr:rowOff>9403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5FB0CF50-8967-434E-9453-D89CAE13E2E4}"/>
            </a:ext>
          </a:extLst>
        </xdr:cNvPr>
        <xdr:cNvGrpSpPr/>
      </xdr:nvGrpSpPr>
      <xdr:grpSpPr>
        <a:xfrm>
          <a:off x="1589531" y="2866405"/>
          <a:ext cx="268618" cy="519339"/>
          <a:chOff x="1327841" y="1639958"/>
          <a:chExt cx="276087" cy="534227"/>
        </a:xfrm>
      </xdr:grpSpPr>
      <xdr:sp macro="" textlink="">
        <xdr:nvSpPr>
          <xdr:cNvPr id="64" name="Hexagon 63">
            <a:extLst>
              <a:ext uri="{FF2B5EF4-FFF2-40B4-BE49-F238E27FC236}">
                <a16:creationId xmlns:a16="http://schemas.microsoft.com/office/drawing/2014/main" id="{4DAA6357-27C2-5B12-02E7-BB3BA83726A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ABCA4214-3CF4-8B72-AC23-8B31F37831F8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66" name="Straight Connector 65">
              <a:extLst>
                <a:ext uri="{FF2B5EF4-FFF2-40B4-BE49-F238E27FC236}">
                  <a16:creationId xmlns:a16="http://schemas.microsoft.com/office/drawing/2014/main" id="{690A50F8-8B48-17DA-097E-A2991D50723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735E1904-FD43-2357-5F60-74E60E9CCF6B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</a:t>
              </a:r>
            </a:p>
          </xdr:txBody>
        </xdr:sp>
      </xdr:grpSp>
    </xdr:grpSp>
    <xdr:clientData/>
  </xdr:twoCellAnchor>
  <xdr:twoCellAnchor>
    <xdr:from>
      <xdr:col>12</xdr:col>
      <xdr:colOff>587317</xdr:colOff>
      <xdr:row>6</xdr:row>
      <xdr:rowOff>55246</xdr:rowOff>
    </xdr:from>
    <xdr:to>
      <xdr:col>13</xdr:col>
      <xdr:colOff>189546</xdr:colOff>
      <xdr:row>8</xdr:row>
      <xdr:rowOff>178594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D1C4781C-4C39-47B1-8FB5-1BF136C5926B}"/>
            </a:ext>
          </a:extLst>
        </xdr:cNvPr>
        <xdr:cNvGrpSpPr/>
      </xdr:nvGrpSpPr>
      <xdr:grpSpPr>
        <a:xfrm>
          <a:off x="8733902" y="1387197"/>
          <a:ext cx="206254" cy="495056"/>
          <a:chOff x="1295399" y="1639958"/>
          <a:chExt cx="353117" cy="534227"/>
        </a:xfrm>
      </xdr:grpSpPr>
      <xdr:sp macro="" textlink="">
        <xdr:nvSpPr>
          <xdr:cNvPr id="69" name="Hexagon 68">
            <a:extLst>
              <a:ext uri="{FF2B5EF4-FFF2-40B4-BE49-F238E27FC236}">
                <a16:creationId xmlns:a16="http://schemas.microsoft.com/office/drawing/2014/main" id="{2AE438B6-7E06-9FD7-6EBC-363A7F6441F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F0C26290-36A5-138E-1374-96EC28E792C1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6939F1CD-B16F-DB84-79A8-9092CE81869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5FF73FF0-8A79-C3FE-D6A7-4AD8F91ED849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26</a:t>
              </a:r>
            </a:p>
          </xdr:txBody>
        </xdr:sp>
      </xdr:grpSp>
    </xdr:grpSp>
    <xdr:clientData/>
  </xdr:twoCellAnchor>
  <xdr:twoCellAnchor>
    <xdr:from>
      <xdr:col>12</xdr:col>
      <xdr:colOff>477145</xdr:colOff>
      <xdr:row>22</xdr:row>
      <xdr:rowOff>142874</xdr:rowOff>
    </xdr:from>
    <xdr:to>
      <xdr:col>13</xdr:col>
      <xdr:colOff>84931</xdr:colOff>
      <xdr:row>25</xdr:row>
      <xdr:rowOff>131795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8FF2A962-972A-414B-ACCC-48BD27CFD3E2}"/>
            </a:ext>
          </a:extLst>
        </xdr:cNvPr>
        <xdr:cNvGrpSpPr/>
      </xdr:nvGrpSpPr>
      <xdr:grpSpPr>
        <a:xfrm>
          <a:off x="8623730" y="4448484"/>
          <a:ext cx="211811" cy="546482"/>
          <a:chOff x="1304924" y="1639958"/>
          <a:chExt cx="372167" cy="534227"/>
        </a:xfrm>
      </xdr:grpSpPr>
      <xdr:sp macro="" textlink="">
        <xdr:nvSpPr>
          <xdr:cNvPr id="74" name="Hexagon 73">
            <a:extLst>
              <a:ext uri="{FF2B5EF4-FFF2-40B4-BE49-F238E27FC236}">
                <a16:creationId xmlns:a16="http://schemas.microsoft.com/office/drawing/2014/main" id="{F9D2CDD4-A356-2426-C9C4-15A5F3B6DFE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33399946-2BD3-FF3B-671B-14D23F855024}"/>
              </a:ext>
            </a:extLst>
          </xdr:cNvPr>
          <xdr:cNvGrpSpPr/>
        </xdr:nvGrpSpPr>
        <xdr:grpSpPr>
          <a:xfrm>
            <a:off x="1304924" y="1657349"/>
            <a:ext cx="372167" cy="516836"/>
            <a:chOff x="1304924" y="1657349"/>
            <a:chExt cx="372167" cy="516836"/>
          </a:xfrm>
        </xdr:grpSpPr>
        <xdr:cxnSp macro="">
          <xdr:nvCxnSpPr>
            <xdr:cNvPr id="76" name="Straight Connector 75">
              <a:extLst>
                <a:ext uri="{FF2B5EF4-FFF2-40B4-BE49-F238E27FC236}">
                  <a16:creationId xmlns:a16="http://schemas.microsoft.com/office/drawing/2014/main" id="{CFC8DB15-2D02-45C1-99EF-D5D3AE308E0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AA574EA7-ACF2-DBA8-BFA5-ECA1CE71E6EF}"/>
                </a:ext>
              </a:extLst>
            </xdr:cNvPr>
            <xdr:cNvSpPr txBox="1"/>
          </xdr:nvSpPr>
          <xdr:spPr>
            <a:xfrm>
              <a:off x="1304924" y="1657349"/>
              <a:ext cx="372167" cy="2526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30</a:t>
              </a:r>
            </a:p>
          </xdr:txBody>
        </xdr:sp>
      </xdr:grpSp>
    </xdr:grpSp>
    <xdr:clientData/>
  </xdr:twoCellAnchor>
  <xdr:twoCellAnchor>
    <xdr:from>
      <xdr:col>22</xdr:col>
      <xdr:colOff>387350</xdr:colOff>
      <xdr:row>9</xdr:row>
      <xdr:rowOff>-1</xdr:rowOff>
    </xdr:from>
    <xdr:to>
      <xdr:col>22</xdr:col>
      <xdr:colOff>387350</xdr:colOff>
      <xdr:row>13</xdr:row>
      <xdr:rowOff>11906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DD892223-A792-47EC-9B2C-D25E09543022}"/>
            </a:ext>
          </a:extLst>
        </xdr:cNvPr>
        <xdr:cNvCxnSpPr/>
      </xdr:nvCxnSpPr>
      <xdr:spPr>
        <a:xfrm flipV="1">
          <a:off x="14751050" y="1879599"/>
          <a:ext cx="0" cy="74850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58047</xdr:colOff>
      <xdr:row>6</xdr:row>
      <xdr:rowOff>73818</xdr:rowOff>
    </xdr:from>
    <xdr:to>
      <xdr:col>21</xdr:col>
      <xdr:colOff>402432</xdr:colOff>
      <xdr:row>9</xdr:row>
      <xdr:rowOff>4795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7227CB1C-5FBC-4BA9-9B5C-3CA559AEE0E8}"/>
            </a:ext>
          </a:extLst>
        </xdr:cNvPr>
        <xdr:cNvGrpSpPr/>
      </xdr:nvGrpSpPr>
      <xdr:grpSpPr>
        <a:xfrm>
          <a:off x="13640852" y="1405769"/>
          <a:ext cx="344385" cy="488538"/>
          <a:chOff x="1295399" y="1639958"/>
          <a:chExt cx="346767" cy="534227"/>
        </a:xfrm>
      </xdr:grpSpPr>
      <xdr:sp macro="" textlink="">
        <xdr:nvSpPr>
          <xdr:cNvPr id="80" name="Hexagon 79">
            <a:extLst>
              <a:ext uri="{FF2B5EF4-FFF2-40B4-BE49-F238E27FC236}">
                <a16:creationId xmlns:a16="http://schemas.microsoft.com/office/drawing/2014/main" id="{AC0C1197-8C82-48D3-46A5-89C21B01E08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07067671-3D91-FC9C-FA66-A8D186DDC1CE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82" name="Straight Connector 81">
              <a:extLst>
                <a:ext uri="{FF2B5EF4-FFF2-40B4-BE49-F238E27FC236}">
                  <a16:creationId xmlns:a16="http://schemas.microsoft.com/office/drawing/2014/main" id="{2BD69012-709C-028D-6D3A-AB037181621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61DA89B7-6DE6-737D-6C4A-A0DDA634803B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22</a:t>
              </a:r>
            </a:p>
          </xdr:txBody>
        </xdr:sp>
      </xdr:grpSp>
    </xdr:grpSp>
    <xdr:clientData/>
  </xdr:twoCellAnchor>
  <xdr:twoCellAnchor>
    <xdr:from>
      <xdr:col>21</xdr:col>
      <xdr:colOff>226321</xdr:colOff>
      <xdr:row>16</xdr:row>
      <xdr:rowOff>113506</xdr:rowOff>
    </xdr:from>
    <xdr:to>
      <xdr:col>21</xdr:col>
      <xdr:colOff>573881</xdr:colOff>
      <xdr:row>19</xdr:row>
      <xdr:rowOff>76233</xdr:rowOff>
    </xdr:to>
    <xdr:grpSp>
      <xdr:nvGrpSpPr>
        <xdr:cNvPr id="84" name="Group 83">
          <a:extLst>
            <a:ext uri="{FF2B5EF4-FFF2-40B4-BE49-F238E27FC236}">
              <a16:creationId xmlns:a16="http://schemas.microsoft.com/office/drawing/2014/main" id="{4625C334-4A06-437F-B4A9-CD7FAFCAFB89}"/>
            </a:ext>
          </a:extLst>
        </xdr:cNvPr>
        <xdr:cNvGrpSpPr/>
      </xdr:nvGrpSpPr>
      <xdr:grpSpPr>
        <a:xfrm>
          <a:off x="13809126" y="3303994"/>
          <a:ext cx="347560" cy="520288"/>
          <a:chOff x="1304924" y="1639958"/>
          <a:chExt cx="349942" cy="534227"/>
        </a:xfrm>
      </xdr:grpSpPr>
      <xdr:sp macro="" textlink="">
        <xdr:nvSpPr>
          <xdr:cNvPr id="85" name="Hexagon 84">
            <a:extLst>
              <a:ext uri="{FF2B5EF4-FFF2-40B4-BE49-F238E27FC236}">
                <a16:creationId xmlns:a16="http://schemas.microsoft.com/office/drawing/2014/main" id="{F34764C8-994F-68D8-3205-FA9A71274B1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3DBF7078-03AD-DDCE-1C75-1361B1AF5B49}"/>
              </a:ext>
            </a:extLst>
          </xdr:cNvPr>
          <xdr:cNvGrpSpPr/>
        </xdr:nvGrpSpPr>
        <xdr:grpSpPr>
          <a:xfrm>
            <a:off x="1304924" y="1666874"/>
            <a:ext cx="349942" cy="507311"/>
            <a:chOff x="1304924" y="1666874"/>
            <a:chExt cx="349942" cy="507311"/>
          </a:xfrm>
        </xdr:grpSpPr>
        <xdr:cxnSp macro="">
          <xdr:nvCxnSpPr>
            <xdr:cNvPr id="87" name="Straight Connector 86">
              <a:extLst>
                <a:ext uri="{FF2B5EF4-FFF2-40B4-BE49-F238E27FC236}">
                  <a16:creationId xmlns:a16="http://schemas.microsoft.com/office/drawing/2014/main" id="{F822012A-680B-B4F5-4495-CF4D9A94753F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61CB1AE9-F1DF-B49C-4818-AAB9B28865D8}"/>
                </a:ext>
              </a:extLst>
            </xdr:cNvPr>
            <xdr:cNvSpPr txBox="1"/>
          </xdr:nvSpPr>
          <xdr:spPr>
            <a:xfrm>
              <a:off x="130492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8</a:t>
              </a:r>
            </a:p>
          </xdr:txBody>
        </xdr:sp>
      </xdr:grpSp>
    </xdr:grpSp>
    <xdr:clientData/>
  </xdr:twoCellAnchor>
  <xdr:twoCellAnchor>
    <xdr:from>
      <xdr:col>22</xdr:col>
      <xdr:colOff>125514</xdr:colOff>
      <xdr:row>19</xdr:row>
      <xdr:rowOff>106364</xdr:rowOff>
    </xdr:from>
    <xdr:to>
      <xdr:col>22</xdr:col>
      <xdr:colOff>450056</xdr:colOff>
      <xdr:row>22</xdr:row>
      <xdr:rowOff>59532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A5B51597-1934-4234-9A0C-663D03BB08ED}"/>
            </a:ext>
          </a:extLst>
        </xdr:cNvPr>
        <xdr:cNvGrpSpPr/>
      </xdr:nvGrpSpPr>
      <xdr:grpSpPr>
        <a:xfrm>
          <a:off x="14405270" y="3854413"/>
          <a:ext cx="324542" cy="510729"/>
          <a:chOff x="1304924" y="1639958"/>
          <a:chExt cx="324542" cy="534227"/>
        </a:xfrm>
      </xdr:grpSpPr>
      <xdr:sp macro="" textlink="">
        <xdr:nvSpPr>
          <xdr:cNvPr id="90" name="Hexagon 89">
            <a:extLst>
              <a:ext uri="{FF2B5EF4-FFF2-40B4-BE49-F238E27FC236}">
                <a16:creationId xmlns:a16="http://schemas.microsoft.com/office/drawing/2014/main" id="{F4B72F38-AA23-0129-D601-C4750BBC81F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C40BABB5-D470-17F7-D780-4B271EBBF2E2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92" name="Straight Connector 91">
              <a:extLst>
                <a:ext uri="{FF2B5EF4-FFF2-40B4-BE49-F238E27FC236}">
                  <a16:creationId xmlns:a16="http://schemas.microsoft.com/office/drawing/2014/main" id="{8D7EA839-0A72-0CBE-3577-F18ADF09F73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C15C2EFA-4ED5-54C1-E2F6-8991F109A6C5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16</a:t>
              </a:r>
            </a:p>
          </xdr:txBody>
        </xdr:sp>
      </xdr:grpSp>
    </xdr:grpSp>
    <xdr:clientData/>
  </xdr:twoCellAnchor>
  <xdr:twoCellAnchor>
    <xdr:from>
      <xdr:col>26</xdr:col>
      <xdr:colOff>395562</xdr:colOff>
      <xdr:row>12</xdr:row>
      <xdr:rowOff>11905</xdr:rowOff>
    </xdr:from>
    <xdr:to>
      <xdr:col>27</xdr:col>
      <xdr:colOff>45250</xdr:colOff>
      <xdr:row>15</xdr:row>
      <xdr:rowOff>1303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3F0FC240-A09E-4AE8-891C-568663D3A03D}"/>
            </a:ext>
          </a:extLst>
        </xdr:cNvPr>
        <xdr:cNvGrpSpPr/>
      </xdr:nvGrpSpPr>
      <xdr:grpSpPr>
        <a:xfrm>
          <a:off x="17447635" y="2458978"/>
          <a:ext cx="253713" cy="546959"/>
          <a:chOff x="1327841" y="1639958"/>
          <a:chExt cx="389151" cy="534227"/>
        </a:xfrm>
      </xdr:grpSpPr>
      <xdr:sp macro="" textlink="">
        <xdr:nvSpPr>
          <xdr:cNvPr id="95" name="Hexagon 94">
            <a:extLst>
              <a:ext uri="{FF2B5EF4-FFF2-40B4-BE49-F238E27FC236}">
                <a16:creationId xmlns:a16="http://schemas.microsoft.com/office/drawing/2014/main" id="{BAE28BE2-0C91-D364-1166-ADF8737315F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96" name="Group 95">
            <a:extLst>
              <a:ext uri="{FF2B5EF4-FFF2-40B4-BE49-F238E27FC236}">
                <a16:creationId xmlns:a16="http://schemas.microsoft.com/office/drawing/2014/main" id="{977DB955-D103-9403-B9DC-1B45B790EDCE}"/>
              </a:ext>
            </a:extLst>
          </xdr:cNvPr>
          <xdr:cNvGrpSpPr/>
        </xdr:nvGrpSpPr>
        <xdr:grpSpPr>
          <a:xfrm>
            <a:off x="1330682" y="1660212"/>
            <a:ext cx="386310" cy="513973"/>
            <a:chOff x="1330682" y="1660212"/>
            <a:chExt cx="386310" cy="513973"/>
          </a:xfrm>
        </xdr:grpSpPr>
        <xdr:cxnSp macro="">
          <xdr:nvCxnSpPr>
            <xdr:cNvPr id="97" name="Straight Connector 96">
              <a:extLst>
                <a:ext uri="{FF2B5EF4-FFF2-40B4-BE49-F238E27FC236}">
                  <a16:creationId xmlns:a16="http://schemas.microsoft.com/office/drawing/2014/main" id="{0502916B-E0DA-6433-E79A-87B78F1B8B30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1E2AF3A5-C4C2-051E-18D4-B7AA38731BF9}"/>
                </a:ext>
              </a:extLst>
            </xdr:cNvPr>
            <xdr:cNvSpPr txBox="1"/>
          </xdr:nvSpPr>
          <xdr:spPr>
            <a:xfrm>
              <a:off x="1330682" y="1660212"/>
              <a:ext cx="386310" cy="2384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9</a:t>
              </a:r>
            </a:p>
          </xdr:txBody>
        </xdr:sp>
      </xdr:grpSp>
    </xdr:grpSp>
    <xdr:clientData/>
  </xdr:twoCellAnchor>
  <xdr:twoCellAnchor>
    <xdr:from>
      <xdr:col>26</xdr:col>
      <xdr:colOff>365053</xdr:colOff>
      <xdr:row>16</xdr:row>
      <xdr:rowOff>114299</xdr:rowOff>
    </xdr:from>
    <xdr:to>
      <xdr:col>26</xdr:col>
      <xdr:colOff>607222</xdr:colOff>
      <xdr:row>19</xdr:row>
      <xdr:rowOff>77026</xdr:rowOff>
    </xdr:to>
    <xdr:grpSp>
      <xdr:nvGrpSpPr>
        <xdr:cNvPr id="99" name="Group 98">
          <a:extLst>
            <a:ext uri="{FF2B5EF4-FFF2-40B4-BE49-F238E27FC236}">
              <a16:creationId xmlns:a16="http://schemas.microsoft.com/office/drawing/2014/main" id="{B2655004-283B-44A2-BE8B-BF62EDFAEDA9}"/>
            </a:ext>
          </a:extLst>
        </xdr:cNvPr>
        <xdr:cNvGrpSpPr/>
      </xdr:nvGrpSpPr>
      <xdr:grpSpPr>
        <a:xfrm>
          <a:off x="17417126" y="3304787"/>
          <a:ext cx="242169" cy="520288"/>
          <a:chOff x="1314117" y="1639958"/>
          <a:chExt cx="350980" cy="534227"/>
        </a:xfrm>
      </xdr:grpSpPr>
      <xdr:sp macro="" textlink="">
        <xdr:nvSpPr>
          <xdr:cNvPr id="100" name="Hexagon 99">
            <a:extLst>
              <a:ext uri="{FF2B5EF4-FFF2-40B4-BE49-F238E27FC236}">
                <a16:creationId xmlns:a16="http://schemas.microsoft.com/office/drawing/2014/main" id="{AB095544-C1BC-6E99-F4CC-62EE4CB214E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1" name="Group 100">
            <a:extLst>
              <a:ext uri="{FF2B5EF4-FFF2-40B4-BE49-F238E27FC236}">
                <a16:creationId xmlns:a16="http://schemas.microsoft.com/office/drawing/2014/main" id="{ABEFC163-F043-A282-0633-43A310CA53BF}"/>
              </a:ext>
            </a:extLst>
          </xdr:cNvPr>
          <xdr:cNvGrpSpPr/>
        </xdr:nvGrpSpPr>
        <xdr:grpSpPr>
          <a:xfrm>
            <a:off x="1314117" y="1666874"/>
            <a:ext cx="350980" cy="507311"/>
            <a:chOff x="1314117" y="1666874"/>
            <a:chExt cx="350980" cy="507311"/>
          </a:xfrm>
        </xdr:grpSpPr>
        <xdr:cxnSp macro="">
          <xdr:nvCxnSpPr>
            <xdr:cNvPr id="102" name="Straight Connector 101">
              <a:extLst>
                <a:ext uri="{FF2B5EF4-FFF2-40B4-BE49-F238E27FC236}">
                  <a16:creationId xmlns:a16="http://schemas.microsoft.com/office/drawing/2014/main" id="{A839E831-FCCF-CB22-B95D-204C4B832E8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6548E82F-58B6-EDBA-6348-8C69687FB83B}"/>
                </a:ext>
              </a:extLst>
            </xdr:cNvPr>
            <xdr:cNvSpPr txBox="1"/>
          </xdr:nvSpPr>
          <xdr:spPr>
            <a:xfrm>
              <a:off x="1314117" y="1666874"/>
              <a:ext cx="350980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10</a:t>
              </a:r>
            </a:p>
          </xdr:txBody>
        </xdr:sp>
      </xdr:grpSp>
    </xdr:grpSp>
    <xdr:clientData/>
  </xdr:twoCellAnchor>
  <xdr:twoCellAnchor>
    <xdr:from>
      <xdr:col>30</xdr:col>
      <xdr:colOff>232670</xdr:colOff>
      <xdr:row>24</xdr:row>
      <xdr:rowOff>8731</xdr:rowOff>
    </xdr:from>
    <xdr:to>
      <xdr:col>30</xdr:col>
      <xdr:colOff>566737</xdr:colOff>
      <xdr:row>26</xdr:row>
      <xdr:rowOff>161958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112E4CFC-91FF-424A-BDD0-1971B32A3570}"/>
            </a:ext>
          </a:extLst>
        </xdr:cNvPr>
        <xdr:cNvGrpSpPr/>
      </xdr:nvGrpSpPr>
      <xdr:grpSpPr>
        <a:xfrm>
          <a:off x="19824743" y="4686048"/>
          <a:ext cx="334067" cy="524934"/>
          <a:chOff x="1314449" y="1639958"/>
          <a:chExt cx="334067" cy="534227"/>
        </a:xfrm>
      </xdr:grpSpPr>
      <xdr:sp macro="" textlink="">
        <xdr:nvSpPr>
          <xdr:cNvPr id="105" name="Hexagon 104">
            <a:extLst>
              <a:ext uri="{FF2B5EF4-FFF2-40B4-BE49-F238E27FC236}">
                <a16:creationId xmlns:a16="http://schemas.microsoft.com/office/drawing/2014/main" id="{AB958AA5-F0E4-D39C-A251-129FF2F8682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06" name="Group 105">
            <a:extLst>
              <a:ext uri="{FF2B5EF4-FFF2-40B4-BE49-F238E27FC236}">
                <a16:creationId xmlns:a16="http://schemas.microsoft.com/office/drawing/2014/main" id="{B89236D1-9734-1A10-9186-B20CFB2A9CE1}"/>
              </a:ext>
            </a:extLst>
          </xdr:cNvPr>
          <xdr:cNvGrpSpPr/>
        </xdr:nvGrpSpPr>
        <xdr:grpSpPr>
          <a:xfrm>
            <a:off x="1314449" y="1666874"/>
            <a:ext cx="334067" cy="507311"/>
            <a:chOff x="1314449" y="1666874"/>
            <a:chExt cx="334067" cy="507311"/>
          </a:xfrm>
        </xdr:grpSpPr>
        <xdr:cxnSp macro="">
          <xdr:nvCxnSpPr>
            <xdr:cNvPr id="107" name="Straight Connector 106">
              <a:extLst>
                <a:ext uri="{FF2B5EF4-FFF2-40B4-BE49-F238E27FC236}">
                  <a16:creationId xmlns:a16="http://schemas.microsoft.com/office/drawing/2014/main" id="{3C4D8488-480F-8F25-6E2E-9280F9385C4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ACE1C9F-4F0E-CE48-790F-D92FBB75C08D}"/>
                </a:ext>
              </a:extLst>
            </xdr:cNvPr>
            <xdr:cNvSpPr txBox="1"/>
          </xdr:nvSpPr>
          <xdr:spPr>
            <a:xfrm>
              <a:off x="1314449" y="1666874"/>
              <a:ext cx="33406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14</a:t>
              </a:r>
            </a:p>
          </xdr:txBody>
        </xdr:sp>
      </xdr:grpSp>
    </xdr:grpSp>
    <xdr:clientData/>
  </xdr:twoCellAnchor>
  <xdr:twoCellAnchor>
    <xdr:from>
      <xdr:col>32</xdr:col>
      <xdr:colOff>261937</xdr:colOff>
      <xdr:row>20</xdr:row>
      <xdr:rowOff>23813</xdr:rowOff>
    </xdr:from>
    <xdr:to>
      <xdr:col>33</xdr:col>
      <xdr:colOff>0</xdr:colOff>
      <xdr:row>23</xdr:row>
      <xdr:rowOff>18291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0BDB4BE5-8900-4D9A-8B4E-0179C01B735E}"/>
            </a:ext>
          </a:extLst>
        </xdr:cNvPr>
        <xdr:cNvGrpSpPr/>
      </xdr:nvGrpSpPr>
      <xdr:grpSpPr>
        <a:xfrm>
          <a:off x="21062059" y="3957715"/>
          <a:ext cx="342087" cy="552039"/>
          <a:chOff x="1318316" y="1639958"/>
          <a:chExt cx="400050" cy="534227"/>
        </a:xfrm>
      </xdr:grpSpPr>
      <xdr:sp macro="" textlink="">
        <xdr:nvSpPr>
          <xdr:cNvPr id="110" name="Hexagon 109">
            <a:extLst>
              <a:ext uri="{FF2B5EF4-FFF2-40B4-BE49-F238E27FC236}">
                <a16:creationId xmlns:a16="http://schemas.microsoft.com/office/drawing/2014/main" id="{79916981-B2F1-AB6F-8417-E14AE90C718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1" name="Group 110">
            <a:extLst>
              <a:ext uri="{FF2B5EF4-FFF2-40B4-BE49-F238E27FC236}">
                <a16:creationId xmlns:a16="http://schemas.microsoft.com/office/drawing/2014/main" id="{49B8D519-242F-4687-B689-DFE5AF4DFA07}"/>
              </a:ext>
            </a:extLst>
          </xdr:cNvPr>
          <xdr:cNvGrpSpPr/>
        </xdr:nvGrpSpPr>
        <xdr:grpSpPr>
          <a:xfrm>
            <a:off x="1318316" y="1680450"/>
            <a:ext cx="400050" cy="493735"/>
            <a:chOff x="1318316" y="1680450"/>
            <a:chExt cx="400050" cy="493735"/>
          </a:xfrm>
        </xdr:grpSpPr>
        <xdr:cxnSp macro="">
          <xdr:nvCxnSpPr>
            <xdr:cNvPr id="112" name="Straight Connector 111">
              <a:extLst>
                <a:ext uri="{FF2B5EF4-FFF2-40B4-BE49-F238E27FC236}">
                  <a16:creationId xmlns:a16="http://schemas.microsoft.com/office/drawing/2014/main" id="{AFD7009C-725F-60AC-B501-43F083C4680A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C520752A-F8EB-966E-C04E-90A3105FED12}"/>
                </a:ext>
              </a:extLst>
            </xdr:cNvPr>
            <xdr:cNvSpPr txBox="1"/>
          </xdr:nvSpPr>
          <xdr:spPr>
            <a:xfrm>
              <a:off x="1318316" y="1680450"/>
              <a:ext cx="400050" cy="20824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15</a:t>
              </a:r>
            </a:p>
          </xdr:txBody>
        </xdr:sp>
      </xdr:grpSp>
    </xdr:grpSp>
    <xdr:clientData/>
  </xdr:twoCellAnchor>
  <xdr:twoCellAnchor>
    <xdr:from>
      <xdr:col>33</xdr:col>
      <xdr:colOff>91383</xdr:colOff>
      <xdr:row>14</xdr:row>
      <xdr:rowOff>69850</xdr:rowOff>
    </xdr:from>
    <xdr:to>
      <xdr:col>33</xdr:col>
      <xdr:colOff>419100</xdr:colOff>
      <xdr:row>17</xdr:row>
      <xdr:rowOff>827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2CA3F669-B8A6-4E9F-9BFD-76F83A0F8F90}"/>
            </a:ext>
          </a:extLst>
        </xdr:cNvPr>
        <xdr:cNvGrpSpPr/>
      </xdr:nvGrpSpPr>
      <xdr:grpSpPr>
        <a:xfrm>
          <a:off x="21495529" y="2888630"/>
          <a:ext cx="327717" cy="488538"/>
          <a:chOff x="1323974" y="1639958"/>
          <a:chExt cx="327717" cy="534227"/>
        </a:xfrm>
      </xdr:grpSpPr>
      <xdr:sp macro="" textlink="">
        <xdr:nvSpPr>
          <xdr:cNvPr id="115" name="Hexagon 114">
            <a:extLst>
              <a:ext uri="{FF2B5EF4-FFF2-40B4-BE49-F238E27FC236}">
                <a16:creationId xmlns:a16="http://schemas.microsoft.com/office/drawing/2014/main" id="{B4D330B7-DA43-275B-45AB-A685B8B44CD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16" name="Group 115">
            <a:extLst>
              <a:ext uri="{FF2B5EF4-FFF2-40B4-BE49-F238E27FC236}">
                <a16:creationId xmlns:a16="http://schemas.microsoft.com/office/drawing/2014/main" id="{C14F8430-6117-E0A1-B7C9-F71217F27471}"/>
              </a:ext>
            </a:extLst>
          </xdr:cNvPr>
          <xdr:cNvGrpSpPr/>
        </xdr:nvGrpSpPr>
        <xdr:grpSpPr>
          <a:xfrm>
            <a:off x="1323974" y="1663587"/>
            <a:ext cx="327717" cy="510598"/>
            <a:chOff x="1323974" y="1663587"/>
            <a:chExt cx="327717" cy="510598"/>
          </a:xfrm>
        </xdr:grpSpPr>
        <xdr:cxnSp macro="">
          <xdr:nvCxnSpPr>
            <xdr:cNvPr id="117" name="Straight Connector 116">
              <a:extLst>
                <a:ext uri="{FF2B5EF4-FFF2-40B4-BE49-F238E27FC236}">
                  <a16:creationId xmlns:a16="http://schemas.microsoft.com/office/drawing/2014/main" id="{FAE676F3-0DCF-2615-406F-FA8B87F0276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1374B071-5AE0-2A9C-B554-DD96CDD899B1}"/>
                </a:ext>
              </a:extLst>
            </xdr:cNvPr>
            <xdr:cNvSpPr txBox="1"/>
          </xdr:nvSpPr>
          <xdr:spPr>
            <a:xfrm>
              <a:off x="1323974" y="1663587"/>
              <a:ext cx="327717" cy="2249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12</a:t>
              </a:r>
            </a:p>
          </xdr:txBody>
        </xdr:sp>
      </xdr:grpSp>
    </xdr:grpSp>
    <xdr:clientData/>
  </xdr:twoCellAnchor>
  <xdr:twoCellAnchor>
    <xdr:from>
      <xdr:col>27</xdr:col>
      <xdr:colOff>362846</xdr:colOff>
      <xdr:row>24</xdr:row>
      <xdr:rowOff>41275</xdr:rowOff>
    </xdr:from>
    <xdr:to>
      <xdr:col>28</xdr:col>
      <xdr:colOff>111919</xdr:colOff>
      <xdr:row>27</xdr:row>
      <xdr:rowOff>4002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A884EDEF-0915-4FB6-8BB6-90FDC333CA5F}"/>
            </a:ext>
          </a:extLst>
        </xdr:cNvPr>
        <xdr:cNvGrpSpPr/>
      </xdr:nvGrpSpPr>
      <xdr:grpSpPr>
        <a:xfrm>
          <a:off x="18018944" y="4718592"/>
          <a:ext cx="353097" cy="520288"/>
          <a:chOff x="1323974" y="1639958"/>
          <a:chExt cx="356292" cy="534227"/>
        </a:xfrm>
      </xdr:grpSpPr>
      <xdr:sp macro="" textlink="">
        <xdr:nvSpPr>
          <xdr:cNvPr id="120" name="Hexagon 119">
            <a:extLst>
              <a:ext uri="{FF2B5EF4-FFF2-40B4-BE49-F238E27FC236}">
                <a16:creationId xmlns:a16="http://schemas.microsoft.com/office/drawing/2014/main" id="{3B50A727-88D5-FC00-65EB-E5041D28B1F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1" name="Group 120">
            <a:extLst>
              <a:ext uri="{FF2B5EF4-FFF2-40B4-BE49-F238E27FC236}">
                <a16:creationId xmlns:a16="http://schemas.microsoft.com/office/drawing/2014/main" id="{6598141A-261D-361F-D45D-80183F80FEE1}"/>
              </a:ext>
            </a:extLst>
          </xdr:cNvPr>
          <xdr:cNvGrpSpPr/>
        </xdr:nvGrpSpPr>
        <xdr:grpSpPr>
          <a:xfrm>
            <a:off x="1323974" y="1657349"/>
            <a:ext cx="356292" cy="516836"/>
            <a:chOff x="1323974" y="1657349"/>
            <a:chExt cx="356292" cy="516836"/>
          </a:xfrm>
        </xdr:grpSpPr>
        <xdr:cxnSp macro="">
          <xdr:nvCxnSpPr>
            <xdr:cNvPr id="122" name="Straight Connector 121">
              <a:extLst>
                <a:ext uri="{FF2B5EF4-FFF2-40B4-BE49-F238E27FC236}">
                  <a16:creationId xmlns:a16="http://schemas.microsoft.com/office/drawing/2014/main" id="{AD914A8D-4E55-34C7-88AD-FFDEEFC6EDCB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F36FDC1E-DDE0-E6AC-24D5-E5A581C3C6CB}"/>
                </a:ext>
              </a:extLst>
            </xdr:cNvPr>
            <xdr:cNvSpPr txBox="1"/>
          </xdr:nvSpPr>
          <xdr:spPr>
            <a:xfrm>
              <a:off x="1323974" y="1657349"/>
              <a:ext cx="35629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13</a:t>
              </a:r>
            </a:p>
          </xdr:txBody>
        </xdr:sp>
      </xdr:grpSp>
    </xdr:grpSp>
    <xdr:clientData/>
  </xdr:twoCellAnchor>
  <xdr:twoCellAnchor>
    <xdr:from>
      <xdr:col>27</xdr:col>
      <xdr:colOff>158057</xdr:colOff>
      <xdr:row>14</xdr:row>
      <xdr:rowOff>89694</xdr:rowOff>
    </xdr:from>
    <xdr:to>
      <xdr:col>27</xdr:col>
      <xdr:colOff>546099</xdr:colOff>
      <xdr:row>17</xdr:row>
      <xdr:rowOff>20671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12ED1C32-E999-47EE-9CCE-C43E4001B4B1}"/>
            </a:ext>
          </a:extLst>
        </xdr:cNvPr>
        <xdr:cNvGrpSpPr/>
      </xdr:nvGrpSpPr>
      <xdr:grpSpPr>
        <a:xfrm>
          <a:off x="17814155" y="2908474"/>
          <a:ext cx="388042" cy="488538"/>
          <a:chOff x="1295399" y="1639958"/>
          <a:chExt cx="391876" cy="534227"/>
        </a:xfrm>
      </xdr:grpSpPr>
      <xdr:sp macro="" textlink="">
        <xdr:nvSpPr>
          <xdr:cNvPr id="125" name="Hexagon 124">
            <a:extLst>
              <a:ext uri="{FF2B5EF4-FFF2-40B4-BE49-F238E27FC236}">
                <a16:creationId xmlns:a16="http://schemas.microsoft.com/office/drawing/2014/main" id="{3065F642-D99C-EFAA-BBF3-CA10FEF16A6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604EC3E2-51E5-81CE-667D-3610BB1A3FCF}"/>
              </a:ext>
            </a:extLst>
          </xdr:cNvPr>
          <xdr:cNvGrpSpPr/>
        </xdr:nvGrpSpPr>
        <xdr:grpSpPr>
          <a:xfrm>
            <a:off x="1295399" y="1663589"/>
            <a:ext cx="391876" cy="510596"/>
            <a:chOff x="1295399" y="1663589"/>
            <a:chExt cx="391876" cy="510596"/>
          </a:xfrm>
        </xdr:grpSpPr>
        <xdr:cxnSp macro="">
          <xdr:nvCxnSpPr>
            <xdr:cNvPr id="127" name="Straight Connector 126">
              <a:extLst>
                <a:ext uri="{FF2B5EF4-FFF2-40B4-BE49-F238E27FC236}">
                  <a16:creationId xmlns:a16="http://schemas.microsoft.com/office/drawing/2014/main" id="{07DDECFC-D1EB-F697-85D5-FD0517E9308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>
              <a:extLst>
                <a:ext uri="{FF2B5EF4-FFF2-40B4-BE49-F238E27FC236}">
                  <a16:creationId xmlns:a16="http://schemas.microsoft.com/office/drawing/2014/main" id="{8AACB887-5A0F-445B-F58B-41A49FF42027}"/>
                </a:ext>
              </a:extLst>
            </xdr:cNvPr>
            <xdr:cNvSpPr txBox="1"/>
          </xdr:nvSpPr>
          <xdr:spPr>
            <a:xfrm>
              <a:off x="1295399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11</a:t>
              </a:r>
            </a:p>
          </xdr:txBody>
        </xdr:sp>
      </xdr:grpSp>
    </xdr:grpSp>
    <xdr:clientData/>
  </xdr:twoCellAnchor>
  <xdr:twoCellAnchor>
    <xdr:from>
      <xdr:col>15</xdr:col>
      <xdr:colOff>380308</xdr:colOff>
      <xdr:row>22</xdr:row>
      <xdr:rowOff>178593</xdr:rowOff>
    </xdr:from>
    <xdr:to>
      <xdr:col>16</xdr:col>
      <xdr:colOff>1270</xdr:colOff>
      <xdr:row>25</xdr:row>
      <xdr:rowOff>129414</xdr:rowOff>
    </xdr:to>
    <xdr:grpSp>
      <xdr:nvGrpSpPr>
        <xdr:cNvPr id="129" name="Group 128">
          <a:extLst>
            <a:ext uri="{FF2B5EF4-FFF2-40B4-BE49-F238E27FC236}">
              <a16:creationId xmlns:a16="http://schemas.microsoft.com/office/drawing/2014/main" id="{D16002F5-4569-4C09-8031-6601C5C5D288}"/>
            </a:ext>
          </a:extLst>
        </xdr:cNvPr>
        <xdr:cNvGrpSpPr/>
      </xdr:nvGrpSpPr>
      <xdr:grpSpPr>
        <a:xfrm>
          <a:off x="10338967" y="4484203"/>
          <a:ext cx="224986" cy="508382"/>
          <a:chOff x="1304924" y="1639958"/>
          <a:chExt cx="375342" cy="534227"/>
        </a:xfrm>
      </xdr:grpSpPr>
      <xdr:sp macro="" textlink="">
        <xdr:nvSpPr>
          <xdr:cNvPr id="130" name="Hexagon 129">
            <a:extLst>
              <a:ext uri="{FF2B5EF4-FFF2-40B4-BE49-F238E27FC236}">
                <a16:creationId xmlns:a16="http://schemas.microsoft.com/office/drawing/2014/main" id="{B526E3DA-5E37-EE32-3726-260669A228C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12E63FD1-A1C3-9C87-44E6-9FE598130836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132" name="Straight Connector 131">
              <a:extLst>
                <a:ext uri="{FF2B5EF4-FFF2-40B4-BE49-F238E27FC236}">
                  <a16:creationId xmlns:a16="http://schemas.microsoft.com/office/drawing/2014/main" id="{700E6450-B02B-563C-CCB2-9883E2798874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50295245-5CFF-1130-F604-5CEC854115D9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29</a:t>
              </a:r>
            </a:p>
          </xdr:txBody>
        </xdr:sp>
      </xdr:grpSp>
    </xdr:grpSp>
    <xdr:clientData/>
  </xdr:twoCellAnchor>
  <xdr:twoCellAnchor>
    <xdr:from>
      <xdr:col>2</xdr:col>
      <xdr:colOff>289015</xdr:colOff>
      <xdr:row>7</xdr:row>
      <xdr:rowOff>179070</xdr:rowOff>
    </xdr:from>
    <xdr:to>
      <xdr:col>3</xdr:col>
      <xdr:colOff>37629</xdr:colOff>
      <xdr:row>10</xdr:row>
      <xdr:rowOff>78297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C9C32D18-CDD2-4BD4-BF4E-BA9E5321F900}"/>
            </a:ext>
          </a:extLst>
        </xdr:cNvPr>
        <xdr:cNvGrpSpPr/>
      </xdr:nvGrpSpPr>
      <xdr:grpSpPr>
        <a:xfrm>
          <a:off x="2240478" y="1696875"/>
          <a:ext cx="352639" cy="456788"/>
          <a:chOff x="1304481" y="1639958"/>
          <a:chExt cx="334919" cy="534227"/>
        </a:xfrm>
      </xdr:grpSpPr>
      <xdr:sp macro="" textlink="">
        <xdr:nvSpPr>
          <xdr:cNvPr id="135" name="Hexagon 134">
            <a:extLst>
              <a:ext uri="{FF2B5EF4-FFF2-40B4-BE49-F238E27FC236}">
                <a16:creationId xmlns:a16="http://schemas.microsoft.com/office/drawing/2014/main" id="{CD76738B-AF10-9726-03CE-F55ABEB77120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B33D2261-EF68-3EC6-5EFA-1ED145E622AA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37" name="Straight Connector 136">
              <a:extLst>
                <a:ext uri="{FF2B5EF4-FFF2-40B4-BE49-F238E27FC236}">
                  <a16:creationId xmlns:a16="http://schemas.microsoft.com/office/drawing/2014/main" id="{A4F39F12-CD24-8FDF-FCAC-50F328BB052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55DCE66E-C3D5-3E3D-CAEB-6BC4131F19E1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28</a:t>
              </a:r>
            </a:p>
          </xdr:txBody>
        </xdr:sp>
      </xdr:grpSp>
    </xdr:grpSp>
    <xdr:clientData/>
  </xdr:twoCellAnchor>
  <xdr:twoCellAnchor>
    <xdr:from>
      <xdr:col>3</xdr:col>
      <xdr:colOff>383383</xdr:colOff>
      <xdr:row>14</xdr:row>
      <xdr:rowOff>66675</xdr:rowOff>
    </xdr:from>
    <xdr:to>
      <xdr:col>3</xdr:col>
      <xdr:colOff>639606</xdr:colOff>
      <xdr:row>17</xdr:row>
      <xdr:rowOff>1462</xdr:rowOff>
    </xdr:to>
    <xdr:grpSp>
      <xdr:nvGrpSpPr>
        <xdr:cNvPr id="139" name="Group 138">
          <a:extLst>
            <a:ext uri="{FF2B5EF4-FFF2-40B4-BE49-F238E27FC236}">
              <a16:creationId xmlns:a16="http://schemas.microsoft.com/office/drawing/2014/main" id="{1C595D67-B5C5-4024-AA8A-F1AE771F0FCC}"/>
            </a:ext>
          </a:extLst>
        </xdr:cNvPr>
        <xdr:cNvGrpSpPr/>
      </xdr:nvGrpSpPr>
      <xdr:grpSpPr>
        <a:xfrm>
          <a:off x="2938871" y="2885455"/>
          <a:ext cx="256223" cy="492348"/>
          <a:chOff x="1327841" y="1639958"/>
          <a:chExt cx="276087" cy="534227"/>
        </a:xfrm>
      </xdr:grpSpPr>
      <xdr:sp macro="" textlink="">
        <xdr:nvSpPr>
          <xdr:cNvPr id="140" name="Hexagon 139">
            <a:extLst>
              <a:ext uri="{FF2B5EF4-FFF2-40B4-BE49-F238E27FC236}">
                <a16:creationId xmlns:a16="http://schemas.microsoft.com/office/drawing/2014/main" id="{BA3F6563-48D6-1D59-6693-B7DCA45C69C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41" name="Group 140">
            <a:extLst>
              <a:ext uri="{FF2B5EF4-FFF2-40B4-BE49-F238E27FC236}">
                <a16:creationId xmlns:a16="http://schemas.microsoft.com/office/drawing/2014/main" id="{BA67B036-3BBF-0407-99A6-D036B313CE44}"/>
              </a:ext>
            </a:extLst>
          </xdr:cNvPr>
          <xdr:cNvGrpSpPr/>
        </xdr:nvGrpSpPr>
        <xdr:grpSpPr>
          <a:xfrm>
            <a:off x="1343024" y="1657349"/>
            <a:ext cx="257175" cy="516836"/>
            <a:chOff x="1343024" y="1657349"/>
            <a:chExt cx="257175" cy="516836"/>
          </a:xfrm>
        </xdr:grpSpPr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B7922FAD-9A7F-A02C-9B4A-33DB7F6AFAFC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9D1974F7-523D-2C72-757D-4B28E2119720}"/>
                </a:ext>
              </a:extLst>
            </xdr:cNvPr>
            <xdr:cNvSpPr txBox="1"/>
          </xdr:nvSpPr>
          <xdr:spPr>
            <a:xfrm>
              <a:off x="1343024" y="1657349"/>
              <a:ext cx="257175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</a:t>
              </a:r>
            </a:p>
          </xdr:txBody>
        </xdr:sp>
      </xdr:grpSp>
    </xdr:grpSp>
    <xdr:clientData/>
  </xdr:twoCellAnchor>
  <xdr:twoCellAnchor>
    <xdr:from>
      <xdr:col>3</xdr:col>
      <xdr:colOff>238125</xdr:colOff>
      <xdr:row>17</xdr:row>
      <xdr:rowOff>2</xdr:rowOff>
    </xdr:from>
    <xdr:to>
      <xdr:col>16</xdr:col>
      <xdr:colOff>7145</xdr:colOff>
      <xdr:row>17</xdr:row>
      <xdr:rowOff>2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D93350C4-B914-4A6D-BC62-BF79064CA3BE}"/>
            </a:ext>
          </a:extLst>
        </xdr:cNvPr>
        <xdr:cNvCxnSpPr/>
      </xdr:nvCxnSpPr>
      <xdr:spPr>
        <a:xfrm>
          <a:off x="2797175" y="3352802"/>
          <a:ext cx="783352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383382</xdr:colOff>
      <xdr:row>10</xdr:row>
      <xdr:rowOff>0</xdr:rowOff>
    </xdr:from>
    <xdr:to>
      <xdr:col>19</xdr:col>
      <xdr:colOff>383382</xdr:colOff>
      <xdr:row>12</xdr:row>
      <xdr:rowOff>11906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9178AAE6-9F7E-474E-BE29-5E5D1BA2A86D}"/>
            </a:ext>
          </a:extLst>
        </xdr:cNvPr>
        <xdr:cNvCxnSpPr/>
      </xdr:nvCxnSpPr>
      <xdr:spPr>
        <a:xfrm>
          <a:off x="12835732" y="2063750"/>
          <a:ext cx="0" cy="380206"/>
        </a:xfrm>
        <a:prstGeom prst="line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14</xdr:row>
      <xdr:rowOff>177800</xdr:rowOff>
    </xdr:from>
    <xdr:to>
      <xdr:col>27</xdr:col>
      <xdr:colOff>12700</xdr:colOff>
      <xdr:row>19</xdr:row>
      <xdr:rowOff>83343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CDBE19AA-6FC8-4746-9043-3D456C9B607C}"/>
            </a:ext>
          </a:extLst>
        </xdr:cNvPr>
        <xdr:cNvCxnSpPr/>
      </xdr:nvCxnSpPr>
      <xdr:spPr>
        <a:xfrm>
          <a:off x="17773650" y="2978150"/>
          <a:ext cx="0" cy="82629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12700</xdr:colOff>
      <xdr:row>17</xdr:row>
      <xdr:rowOff>25400</xdr:rowOff>
    </xdr:from>
    <xdr:to>
      <xdr:col>29</xdr:col>
      <xdr:colOff>0</xdr:colOff>
      <xdr:row>17</xdr:row>
      <xdr:rowOff>25400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23BDA159-164E-4945-9F34-52E7859ABA40}"/>
            </a:ext>
          </a:extLst>
        </xdr:cNvPr>
        <xdr:cNvCxnSpPr/>
      </xdr:nvCxnSpPr>
      <xdr:spPr>
        <a:xfrm>
          <a:off x="17773650" y="3378200"/>
          <a:ext cx="120650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7256</xdr:colOff>
      <xdr:row>4</xdr:row>
      <xdr:rowOff>0</xdr:rowOff>
    </xdr:from>
    <xdr:to>
      <xdr:col>9</xdr:col>
      <xdr:colOff>358734</xdr:colOff>
      <xdr:row>4</xdr:row>
      <xdr:rowOff>84256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20BC3935-B98B-4E47-9A15-75F73CBBA206}"/>
            </a:ext>
          </a:extLst>
        </xdr:cNvPr>
        <xdr:cNvSpPr txBox="1"/>
      </xdr:nvSpPr>
      <xdr:spPr>
        <a:xfrm>
          <a:off x="6363606" y="958850"/>
          <a:ext cx="351478" cy="842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329813</xdr:colOff>
      <xdr:row>6</xdr:row>
      <xdr:rowOff>104774</xdr:rowOff>
    </xdr:from>
    <xdr:to>
      <xdr:col>16</xdr:col>
      <xdr:colOff>1592</xdr:colOff>
      <xdr:row>8</xdr:row>
      <xdr:rowOff>179261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D393D834-5110-4D88-8F1E-6472E0225A1C}"/>
            </a:ext>
          </a:extLst>
        </xdr:cNvPr>
        <xdr:cNvGrpSpPr/>
      </xdr:nvGrpSpPr>
      <xdr:grpSpPr>
        <a:xfrm>
          <a:off x="10288472" y="1436725"/>
          <a:ext cx="275803" cy="446195"/>
          <a:chOff x="1304481" y="1639958"/>
          <a:chExt cx="334919" cy="534227"/>
        </a:xfrm>
      </xdr:grpSpPr>
      <xdr:sp macro="" textlink="">
        <xdr:nvSpPr>
          <xdr:cNvPr id="150" name="Hexagon 149">
            <a:extLst>
              <a:ext uri="{FF2B5EF4-FFF2-40B4-BE49-F238E27FC236}">
                <a16:creationId xmlns:a16="http://schemas.microsoft.com/office/drawing/2014/main" id="{E9993E54-DB67-A25F-FE6D-0A509190141D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1" name="Group 150">
            <a:extLst>
              <a:ext uri="{FF2B5EF4-FFF2-40B4-BE49-F238E27FC236}">
                <a16:creationId xmlns:a16="http://schemas.microsoft.com/office/drawing/2014/main" id="{5D8F5A6D-EA79-85AE-C483-20659E4D2A57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152" name="Straight Connector 151">
              <a:extLst>
                <a:ext uri="{FF2B5EF4-FFF2-40B4-BE49-F238E27FC236}">
                  <a16:creationId xmlns:a16="http://schemas.microsoft.com/office/drawing/2014/main" id="{145614F0-7EDE-17B3-5BCE-E8AEC4DBA71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240313E2-F9F1-DFBD-801C-5D009863F0DF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25</a:t>
              </a:r>
            </a:p>
          </xdr:txBody>
        </xdr:sp>
      </xdr:grpSp>
    </xdr:grpSp>
    <xdr:clientData/>
  </xdr:twoCellAnchor>
  <xdr:twoCellAnchor>
    <xdr:from>
      <xdr:col>30</xdr:col>
      <xdr:colOff>608329</xdr:colOff>
      <xdr:row>6</xdr:row>
      <xdr:rowOff>71438</xdr:rowOff>
    </xdr:from>
    <xdr:to>
      <xdr:col>31</xdr:col>
      <xdr:colOff>197541</xdr:colOff>
      <xdr:row>9</xdr:row>
      <xdr:rowOff>7019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86C0154E-0997-489E-8F62-D314D93E5BF4}"/>
            </a:ext>
          </a:extLst>
        </xdr:cNvPr>
        <xdr:cNvGrpSpPr/>
      </xdr:nvGrpSpPr>
      <xdr:grpSpPr>
        <a:xfrm>
          <a:off x="20200402" y="1403389"/>
          <a:ext cx="193237" cy="493142"/>
          <a:chOff x="1295399" y="1639958"/>
          <a:chExt cx="353117" cy="534227"/>
        </a:xfrm>
      </xdr:grpSpPr>
      <xdr:sp macro="" textlink="">
        <xdr:nvSpPr>
          <xdr:cNvPr id="155" name="Hexagon 154">
            <a:extLst>
              <a:ext uri="{FF2B5EF4-FFF2-40B4-BE49-F238E27FC236}">
                <a16:creationId xmlns:a16="http://schemas.microsoft.com/office/drawing/2014/main" id="{E3C65DC1-F83D-E0AB-879E-30508B6E77D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56" name="Group 155">
            <a:extLst>
              <a:ext uri="{FF2B5EF4-FFF2-40B4-BE49-F238E27FC236}">
                <a16:creationId xmlns:a16="http://schemas.microsoft.com/office/drawing/2014/main" id="{D00E07CD-FA7A-098F-1400-24E65BF8A225}"/>
              </a:ext>
            </a:extLst>
          </xdr:cNvPr>
          <xdr:cNvGrpSpPr/>
        </xdr:nvGrpSpPr>
        <xdr:grpSpPr>
          <a:xfrm>
            <a:off x="1295399" y="1657349"/>
            <a:ext cx="353117" cy="516836"/>
            <a:chOff x="1295399" y="1657349"/>
            <a:chExt cx="353117" cy="516836"/>
          </a:xfrm>
        </xdr:grpSpPr>
        <xdr:cxnSp macro="">
          <xdr:nvCxnSpPr>
            <xdr:cNvPr id="157" name="Straight Connector 156">
              <a:extLst>
                <a:ext uri="{FF2B5EF4-FFF2-40B4-BE49-F238E27FC236}">
                  <a16:creationId xmlns:a16="http://schemas.microsoft.com/office/drawing/2014/main" id="{8E954164-1678-2A7D-ECC2-6E5E254956A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6F8B5EBF-86EC-D28E-05F1-450D145E441C}"/>
                </a:ext>
              </a:extLst>
            </xdr:cNvPr>
            <xdr:cNvSpPr txBox="1"/>
          </xdr:nvSpPr>
          <xdr:spPr>
            <a:xfrm>
              <a:off x="1295399" y="1657349"/>
              <a:ext cx="353117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17</a:t>
              </a:r>
            </a:p>
          </xdr:txBody>
        </xdr:sp>
      </xdr:grpSp>
    </xdr:grpSp>
    <xdr:clientData/>
  </xdr:twoCellAnchor>
  <xdr:twoCellAnchor>
    <xdr:from>
      <xdr:col>18</xdr:col>
      <xdr:colOff>523875</xdr:colOff>
      <xdr:row>7</xdr:row>
      <xdr:rowOff>154781</xdr:rowOff>
    </xdr:from>
    <xdr:to>
      <xdr:col>20</xdr:col>
      <xdr:colOff>285751</xdr:colOff>
      <xdr:row>9</xdr:row>
      <xdr:rowOff>178593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2B892B8F-E7AE-47F1-B576-539957C5644F}"/>
            </a:ext>
          </a:extLst>
        </xdr:cNvPr>
        <xdr:cNvSpPr/>
      </xdr:nvSpPr>
      <xdr:spPr>
        <a:xfrm>
          <a:off x="12366625" y="1666081"/>
          <a:ext cx="981076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523875</xdr:colOff>
      <xdr:row>7</xdr:row>
      <xdr:rowOff>166687</xdr:rowOff>
    </xdr:from>
    <xdr:to>
      <xdr:col>20</xdr:col>
      <xdr:colOff>285750</xdr:colOff>
      <xdr:row>9</xdr:row>
      <xdr:rowOff>178593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F052BAF-B724-415B-A113-640A9FC752B2}"/>
            </a:ext>
          </a:extLst>
        </xdr:cNvPr>
        <xdr:cNvCxnSpPr/>
      </xdr:nvCxnSpPr>
      <xdr:spPr>
        <a:xfrm flipH="1">
          <a:off x="12366625" y="1677987"/>
          <a:ext cx="981075" cy="380206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523874</xdr:colOff>
      <xdr:row>6</xdr:row>
      <xdr:rowOff>71438</xdr:rowOff>
    </xdr:from>
    <xdr:to>
      <xdr:col>20</xdr:col>
      <xdr:colOff>321469</xdr:colOff>
      <xdr:row>7</xdr:row>
      <xdr:rowOff>130969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98AA3F2E-50B8-4574-A7BD-E6EBBE5F817E}"/>
            </a:ext>
          </a:extLst>
        </xdr:cNvPr>
        <xdr:cNvSpPr txBox="1"/>
      </xdr:nvSpPr>
      <xdr:spPr>
        <a:xfrm>
          <a:off x="12366624" y="1398588"/>
          <a:ext cx="1016795" cy="2436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Nanofilter</a:t>
          </a:r>
        </a:p>
      </xdr:txBody>
    </xdr:sp>
    <xdr:clientData/>
  </xdr:twoCellAnchor>
  <xdr:twoCellAnchor>
    <xdr:from>
      <xdr:col>19</xdr:col>
      <xdr:colOff>392906</xdr:colOff>
      <xdr:row>12</xdr:row>
      <xdr:rowOff>11904</xdr:rowOff>
    </xdr:from>
    <xdr:to>
      <xdr:col>20</xdr:col>
      <xdr:colOff>154781</xdr:colOff>
      <xdr:row>12</xdr:row>
      <xdr:rowOff>11904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65FA1782-5FF6-4A75-A49A-38679E8222C7}"/>
            </a:ext>
          </a:extLst>
        </xdr:cNvPr>
        <xdr:cNvCxnSpPr/>
      </xdr:nvCxnSpPr>
      <xdr:spPr>
        <a:xfrm flipH="1">
          <a:off x="12845256" y="2443954"/>
          <a:ext cx="37147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45017</xdr:colOff>
      <xdr:row>12</xdr:row>
      <xdr:rowOff>35718</xdr:rowOff>
    </xdr:from>
    <xdr:to>
      <xdr:col>21</xdr:col>
      <xdr:colOff>471386</xdr:colOff>
      <xdr:row>14</xdr:row>
      <xdr:rowOff>169102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875E2B4E-3098-41E5-811B-71A6B062DBA1}"/>
            </a:ext>
          </a:extLst>
        </xdr:cNvPr>
        <xdr:cNvGrpSpPr/>
      </xdr:nvGrpSpPr>
      <xdr:grpSpPr>
        <a:xfrm>
          <a:off x="13627822" y="2482791"/>
          <a:ext cx="426369" cy="505091"/>
          <a:chOff x="1327841" y="1639958"/>
          <a:chExt cx="417763" cy="534227"/>
        </a:xfrm>
      </xdr:grpSpPr>
      <xdr:sp macro="" textlink="">
        <xdr:nvSpPr>
          <xdr:cNvPr id="164" name="Hexagon 163">
            <a:extLst>
              <a:ext uri="{FF2B5EF4-FFF2-40B4-BE49-F238E27FC236}">
                <a16:creationId xmlns:a16="http://schemas.microsoft.com/office/drawing/2014/main" id="{03C31DC8-515E-0B82-1020-C3CD11761C4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65" name="Group 164">
            <a:extLst>
              <a:ext uri="{FF2B5EF4-FFF2-40B4-BE49-F238E27FC236}">
                <a16:creationId xmlns:a16="http://schemas.microsoft.com/office/drawing/2014/main" id="{67AD77BD-A3BE-4EEC-1D49-1AC46222741F}"/>
              </a:ext>
            </a:extLst>
          </xdr:cNvPr>
          <xdr:cNvGrpSpPr/>
        </xdr:nvGrpSpPr>
        <xdr:grpSpPr>
          <a:xfrm>
            <a:off x="1353728" y="1663589"/>
            <a:ext cx="391876" cy="510596"/>
            <a:chOff x="1353728" y="1663589"/>
            <a:chExt cx="391876" cy="510596"/>
          </a:xfrm>
        </xdr:grpSpPr>
        <xdr:cxnSp macro="">
          <xdr:nvCxnSpPr>
            <xdr:cNvPr id="166" name="Straight Connector 165">
              <a:extLst>
                <a:ext uri="{FF2B5EF4-FFF2-40B4-BE49-F238E27FC236}">
                  <a16:creationId xmlns:a16="http://schemas.microsoft.com/office/drawing/2014/main" id="{E13CC251-D4C8-7DD5-E605-6E653F66083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FAFCF696-8AB6-3B60-463E-BB0917CFD662}"/>
                </a:ext>
              </a:extLst>
            </xdr:cNvPr>
            <xdr:cNvSpPr txBox="1"/>
          </xdr:nvSpPr>
          <xdr:spPr>
            <a:xfrm>
              <a:off x="1353728" y="1663589"/>
              <a:ext cx="391876" cy="2329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6</a:t>
              </a:r>
            </a:p>
          </xdr:txBody>
        </xdr:sp>
      </xdr:grpSp>
    </xdr:grpSp>
    <xdr:clientData/>
  </xdr:twoCellAnchor>
  <xdr:twoCellAnchor>
    <xdr:from>
      <xdr:col>15</xdr:col>
      <xdr:colOff>11907</xdr:colOff>
      <xdr:row>8</xdr:row>
      <xdr:rowOff>178593</xdr:rowOff>
    </xdr:from>
    <xdr:to>
      <xdr:col>18</xdr:col>
      <xdr:colOff>519113</xdr:colOff>
      <xdr:row>8</xdr:row>
      <xdr:rowOff>178593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B08D73E8-0D04-4B5E-A1CB-335A13EA27AF}"/>
            </a:ext>
          </a:extLst>
        </xdr:cNvPr>
        <xdr:cNvCxnSpPr/>
      </xdr:nvCxnSpPr>
      <xdr:spPr>
        <a:xfrm flipH="1">
          <a:off x="10025857" y="1874043"/>
          <a:ext cx="23360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285750</xdr:colOff>
      <xdr:row>7</xdr:row>
      <xdr:rowOff>142875</xdr:rowOff>
    </xdr:from>
    <xdr:to>
      <xdr:col>15</xdr:col>
      <xdr:colOff>11907</xdr:colOff>
      <xdr:row>9</xdr:row>
      <xdr:rowOff>166687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FCDEC552-57E1-44A9-87D8-09B6E4F35FEC}"/>
            </a:ext>
          </a:extLst>
        </xdr:cNvPr>
        <xdr:cNvSpPr/>
      </xdr:nvSpPr>
      <xdr:spPr>
        <a:xfrm>
          <a:off x="9080500" y="1654175"/>
          <a:ext cx="945357" cy="392112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285750</xdr:colOff>
      <xdr:row>7</xdr:row>
      <xdr:rowOff>142874</xdr:rowOff>
    </xdr:from>
    <xdr:to>
      <xdr:col>15</xdr:col>
      <xdr:colOff>11906</xdr:colOff>
      <xdr:row>9</xdr:row>
      <xdr:rowOff>178593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894600BA-497E-4349-AF29-D19918384753}"/>
            </a:ext>
          </a:extLst>
        </xdr:cNvPr>
        <xdr:cNvCxnSpPr/>
      </xdr:nvCxnSpPr>
      <xdr:spPr>
        <a:xfrm flipH="1">
          <a:off x="9080500" y="1654174"/>
          <a:ext cx="945356" cy="40401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178593</xdr:colOff>
      <xdr:row>6</xdr:row>
      <xdr:rowOff>83343</xdr:rowOff>
    </xdr:from>
    <xdr:to>
      <xdr:col>15</xdr:col>
      <xdr:colOff>154780</xdr:colOff>
      <xdr:row>7</xdr:row>
      <xdr:rowOff>107156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699D879B-79E3-44DA-9124-9831A1A69FA4}"/>
            </a:ext>
          </a:extLst>
        </xdr:cNvPr>
        <xdr:cNvSpPr txBox="1"/>
      </xdr:nvSpPr>
      <xdr:spPr>
        <a:xfrm>
          <a:off x="8973343" y="1410493"/>
          <a:ext cx="1195387" cy="207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Low</a:t>
          </a:r>
          <a:r>
            <a:rPr lang="en-US" sz="1100" baseline="0"/>
            <a:t> Pressure RO</a:t>
          </a:r>
          <a:endParaRPr lang="en-US" sz="1100"/>
        </a:p>
      </xdr:txBody>
    </xdr:sp>
    <xdr:clientData/>
  </xdr:twoCellAnchor>
  <xdr:twoCellAnchor>
    <xdr:from>
      <xdr:col>12</xdr:col>
      <xdr:colOff>464343</xdr:colOff>
      <xdr:row>9</xdr:row>
      <xdr:rowOff>0</xdr:rowOff>
    </xdr:from>
    <xdr:to>
      <xdr:col>13</xdr:col>
      <xdr:colOff>280987</xdr:colOff>
      <xdr:row>9</xdr:row>
      <xdr:rowOff>0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4EFF71D7-BD4A-4FC0-9AEF-17755835B80E}"/>
            </a:ext>
          </a:extLst>
        </xdr:cNvPr>
        <xdr:cNvCxnSpPr/>
      </xdr:nvCxnSpPr>
      <xdr:spPr>
        <a:xfrm flipH="1">
          <a:off x="8649493" y="1879600"/>
          <a:ext cx="426244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17</xdr:row>
      <xdr:rowOff>130968</xdr:rowOff>
    </xdr:from>
    <xdr:to>
      <xdr:col>14</xdr:col>
      <xdr:colOff>142875</xdr:colOff>
      <xdr:row>25</xdr:row>
      <xdr:rowOff>130968</xdr:rowOff>
    </xdr:to>
    <xdr:cxnSp macro="">
      <xdr:nvCxnSpPr>
        <xdr:cNvPr id="173" name="Straight Arrow Connector 172">
          <a:extLst>
            <a:ext uri="{FF2B5EF4-FFF2-40B4-BE49-F238E27FC236}">
              <a16:creationId xmlns:a16="http://schemas.microsoft.com/office/drawing/2014/main" id="{3E1D1BA4-B1A8-4E8E-9131-125317E12B92}"/>
            </a:ext>
          </a:extLst>
        </xdr:cNvPr>
        <xdr:cNvCxnSpPr/>
      </xdr:nvCxnSpPr>
      <xdr:spPr>
        <a:xfrm>
          <a:off x="9547225" y="3483768"/>
          <a:ext cx="0" cy="147320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</xdr:colOff>
      <xdr:row>16</xdr:row>
      <xdr:rowOff>95246</xdr:rowOff>
    </xdr:from>
    <xdr:to>
      <xdr:col>14</xdr:col>
      <xdr:colOff>273843</xdr:colOff>
      <xdr:row>17</xdr:row>
      <xdr:rowOff>142873</xdr:rowOff>
    </xdr:to>
    <xdr:sp macro="" textlink="">
      <xdr:nvSpPr>
        <xdr:cNvPr id="174" name="Arc 173">
          <a:extLst>
            <a:ext uri="{FF2B5EF4-FFF2-40B4-BE49-F238E27FC236}">
              <a16:creationId xmlns:a16="http://schemas.microsoft.com/office/drawing/2014/main" id="{291585E1-57D7-4E04-92AB-BF6FBE6F7284}"/>
            </a:ext>
          </a:extLst>
        </xdr:cNvPr>
        <xdr:cNvSpPr/>
      </xdr:nvSpPr>
      <xdr:spPr>
        <a:xfrm flipH="1" flipV="1">
          <a:off x="9428162" y="3263896"/>
          <a:ext cx="250031" cy="231777"/>
        </a:xfrm>
        <a:prstGeom prst="arc">
          <a:avLst>
            <a:gd name="adj1" fmla="val 5400000"/>
            <a:gd name="adj2" fmla="val 16307393"/>
          </a:avLst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130968</xdr:colOff>
      <xdr:row>15</xdr:row>
      <xdr:rowOff>0</xdr:rowOff>
    </xdr:from>
    <xdr:to>
      <xdr:col>14</xdr:col>
      <xdr:colOff>381000</xdr:colOff>
      <xdr:row>15</xdr:row>
      <xdr:rowOff>0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A77F674C-FFF0-475C-A02E-8729C0277266}"/>
            </a:ext>
          </a:extLst>
        </xdr:cNvPr>
        <xdr:cNvCxnSpPr/>
      </xdr:nvCxnSpPr>
      <xdr:spPr>
        <a:xfrm flipH="1">
          <a:off x="9535318" y="2984500"/>
          <a:ext cx="25003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15</xdr:row>
      <xdr:rowOff>11907</xdr:rowOff>
    </xdr:from>
    <xdr:to>
      <xdr:col>3</xdr:col>
      <xdr:colOff>238125</xdr:colOff>
      <xdr:row>18</xdr:row>
      <xdr:rowOff>178593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118FF5-C986-4660-909E-58B33EAFA7B0}"/>
            </a:ext>
          </a:extLst>
        </xdr:cNvPr>
        <xdr:cNvSpPr/>
      </xdr:nvSpPr>
      <xdr:spPr>
        <a:xfrm>
          <a:off x="1949451" y="2996407"/>
          <a:ext cx="847724" cy="719136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797719</xdr:colOff>
      <xdr:row>15</xdr:row>
      <xdr:rowOff>11905</xdr:rowOff>
    </xdr:from>
    <xdr:to>
      <xdr:col>3</xdr:col>
      <xdr:colOff>250032</xdr:colOff>
      <xdr:row>19</xdr:row>
      <xdr:rowOff>71436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A51ABFFB-4559-4899-B469-0E2D71B45F18}"/>
            </a:ext>
          </a:extLst>
        </xdr:cNvPr>
        <xdr:cNvSpPr txBox="1"/>
      </xdr:nvSpPr>
      <xdr:spPr>
        <a:xfrm>
          <a:off x="1947069" y="2996405"/>
          <a:ext cx="862013" cy="7961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Filtration</a:t>
          </a:r>
        </a:p>
      </xdr:txBody>
    </xdr:sp>
    <xdr:clientData/>
  </xdr:twoCellAnchor>
  <xdr:twoCellAnchor>
    <xdr:from>
      <xdr:col>16</xdr:col>
      <xdr:colOff>321469</xdr:colOff>
      <xdr:row>24</xdr:row>
      <xdr:rowOff>11906</xdr:rowOff>
    </xdr:from>
    <xdr:to>
      <xdr:col>16</xdr:col>
      <xdr:colOff>321469</xdr:colOff>
      <xdr:row>25</xdr:row>
      <xdr:rowOff>130968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927ACB70-C38B-4E48-9D57-085DDFE2C571}"/>
            </a:ext>
          </a:extLst>
        </xdr:cNvPr>
        <xdr:cNvCxnSpPr/>
      </xdr:nvCxnSpPr>
      <xdr:spPr>
        <a:xfrm>
          <a:off x="10945019" y="4653756"/>
          <a:ext cx="0" cy="30321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308666</xdr:colOff>
      <xdr:row>14</xdr:row>
      <xdr:rowOff>71438</xdr:rowOff>
    </xdr:from>
    <xdr:to>
      <xdr:col>15</xdr:col>
      <xdr:colOff>607910</xdr:colOff>
      <xdr:row>17</xdr:row>
      <xdr:rowOff>22259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1559712D-A218-4BBD-9978-0B27D86C5CAF}"/>
            </a:ext>
          </a:extLst>
        </xdr:cNvPr>
        <xdr:cNvGrpSpPr/>
      </xdr:nvGrpSpPr>
      <xdr:grpSpPr>
        <a:xfrm>
          <a:off x="10267325" y="2890218"/>
          <a:ext cx="299244" cy="508382"/>
          <a:chOff x="1327841" y="1639958"/>
          <a:chExt cx="388144" cy="534227"/>
        </a:xfrm>
      </xdr:grpSpPr>
      <xdr:sp macro="" textlink="">
        <xdr:nvSpPr>
          <xdr:cNvPr id="180" name="Hexagon 179">
            <a:extLst>
              <a:ext uri="{FF2B5EF4-FFF2-40B4-BE49-F238E27FC236}">
                <a16:creationId xmlns:a16="http://schemas.microsoft.com/office/drawing/2014/main" id="{AF035569-0F99-840F-5FCB-E401BD52350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1" name="Group 180">
            <a:extLst>
              <a:ext uri="{FF2B5EF4-FFF2-40B4-BE49-F238E27FC236}">
                <a16:creationId xmlns:a16="http://schemas.microsoft.com/office/drawing/2014/main" id="{C77D99B9-39FE-E249-8AEB-E1391BB37E8D}"/>
              </a:ext>
            </a:extLst>
          </xdr:cNvPr>
          <xdr:cNvGrpSpPr/>
        </xdr:nvGrpSpPr>
        <xdr:grpSpPr>
          <a:xfrm>
            <a:off x="1340643" y="1671519"/>
            <a:ext cx="375342" cy="502666"/>
            <a:chOff x="1340643" y="1671519"/>
            <a:chExt cx="375342" cy="502666"/>
          </a:xfrm>
        </xdr:grpSpPr>
        <xdr:cxnSp macro="">
          <xdr:nvCxnSpPr>
            <xdr:cNvPr id="182" name="Straight Connector 181">
              <a:extLst>
                <a:ext uri="{FF2B5EF4-FFF2-40B4-BE49-F238E27FC236}">
                  <a16:creationId xmlns:a16="http://schemas.microsoft.com/office/drawing/2014/main" id="{015EC5E9-D4B7-A213-6777-988B06C4EC6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DCB06280-04FE-4277-1921-EB106FB3C3CC}"/>
                </a:ext>
              </a:extLst>
            </xdr:cNvPr>
            <xdr:cNvSpPr txBox="1"/>
          </xdr:nvSpPr>
          <xdr:spPr>
            <a:xfrm>
              <a:off x="1340643" y="1671519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</a:t>
              </a:r>
            </a:p>
          </xdr:txBody>
        </xdr:sp>
      </xdr:grpSp>
    </xdr:grpSp>
    <xdr:clientData/>
  </xdr:twoCellAnchor>
  <xdr:twoCellAnchor>
    <xdr:from>
      <xdr:col>18</xdr:col>
      <xdr:colOff>571446</xdr:colOff>
      <xdr:row>14</xdr:row>
      <xdr:rowOff>47625</xdr:rowOff>
    </xdr:from>
    <xdr:to>
      <xdr:col>19</xdr:col>
      <xdr:colOff>312637</xdr:colOff>
      <xdr:row>17</xdr:row>
      <xdr:rowOff>793</xdr:rowOff>
    </xdr:to>
    <xdr:grpSp>
      <xdr:nvGrpSpPr>
        <xdr:cNvPr id="184" name="Group 183">
          <a:extLst>
            <a:ext uri="{FF2B5EF4-FFF2-40B4-BE49-F238E27FC236}">
              <a16:creationId xmlns:a16="http://schemas.microsoft.com/office/drawing/2014/main" id="{9977AA9C-CFB6-4F1F-AD6A-0C6917E2BCBA}"/>
            </a:ext>
          </a:extLst>
        </xdr:cNvPr>
        <xdr:cNvGrpSpPr/>
      </xdr:nvGrpSpPr>
      <xdr:grpSpPr>
        <a:xfrm>
          <a:off x="12342178" y="2866405"/>
          <a:ext cx="345215" cy="510729"/>
          <a:chOff x="1327841" y="1639958"/>
          <a:chExt cx="347565" cy="534227"/>
        </a:xfrm>
      </xdr:grpSpPr>
      <xdr:sp macro="" textlink="">
        <xdr:nvSpPr>
          <xdr:cNvPr id="185" name="Hexagon 184">
            <a:extLst>
              <a:ext uri="{FF2B5EF4-FFF2-40B4-BE49-F238E27FC236}">
                <a16:creationId xmlns:a16="http://schemas.microsoft.com/office/drawing/2014/main" id="{E6EAED02-7ECC-377F-8BED-A0E07A6D5EC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6" name="Group 185">
            <a:extLst>
              <a:ext uri="{FF2B5EF4-FFF2-40B4-BE49-F238E27FC236}">
                <a16:creationId xmlns:a16="http://schemas.microsoft.com/office/drawing/2014/main" id="{17A59E11-389A-AC02-4D4E-E56141774BED}"/>
              </a:ext>
            </a:extLst>
          </xdr:cNvPr>
          <xdr:cNvGrpSpPr/>
        </xdr:nvGrpSpPr>
        <xdr:grpSpPr>
          <a:xfrm>
            <a:off x="1350864" y="1653461"/>
            <a:ext cx="324542" cy="520724"/>
            <a:chOff x="1350864" y="1653461"/>
            <a:chExt cx="324542" cy="520724"/>
          </a:xfrm>
        </xdr:grpSpPr>
        <xdr:cxnSp macro="">
          <xdr:nvCxnSpPr>
            <xdr:cNvPr id="187" name="Straight Connector 186">
              <a:extLst>
                <a:ext uri="{FF2B5EF4-FFF2-40B4-BE49-F238E27FC236}">
                  <a16:creationId xmlns:a16="http://schemas.microsoft.com/office/drawing/2014/main" id="{7F055A55-22C2-D630-0871-122D2775343E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1E68665-6A09-C1B1-C3C7-19C6AB893C78}"/>
                </a:ext>
              </a:extLst>
            </xdr:cNvPr>
            <xdr:cNvSpPr txBox="1"/>
          </xdr:nvSpPr>
          <xdr:spPr>
            <a:xfrm>
              <a:off x="135086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4</a:t>
              </a:r>
            </a:p>
          </xdr:txBody>
        </xdr:sp>
      </xdr:grpSp>
    </xdr:grpSp>
    <xdr:clientData/>
  </xdr:twoCellAnchor>
  <xdr:twoCellAnchor>
    <xdr:from>
      <xdr:col>20</xdr:col>
      <xdr:colOff>284855</xdr:colOff>
      <xdr:row>14</xdr:row>
      <xdr:rowOff>35719</xdr:rowOff>
    </xdr:from>
    <xdr:to>
      <xdr:col>21</xdr:col>
      <xdr:colOff>3074</xdr:colOff>
      <xdr:row>16</xdr:row>
      <xdr:rowOff>179387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E2E43B68-CC21-4800-A855-50D4A3536B3C}"/>
            </a:ext>
          </a:extLst>
        </xdr:cNvPr>
        <xdr:cNvGrpSpPr/>
      </xdr:nvGrpSpPr>
      <xdr:grpSpPr>
        <a:xfrm>
          <a:off x="13263635" y="2854499"/>
          <a:ext cx="322244" cy="515376"/>
          <a:chOff x="1327841" y="1639958"/>
          <a:chExt cx="337344" cy="534227"/>
        </a:xfrm>
      </xdr:grpSpPr>
      <xdr:sp macro="" textlink="">
        <xdr:nvSpPr>
          <xdr:cNvPr id="190" name="Hexagon 189">
            <a:extLst>
              <a:ext uri="{FF2B5EF4-FFF2-40B4-BE49-F238E27FC236}">
                <a16:creationId xmlns:a16="http://schemas.microsoft.com/office/drawing/2014/main" id="{5A0E216F-6639-FC6F-D1EE-BBA4BB3A9168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467E1578-E5B5-24FE-FB01-48E73567936F}"/>
              </a:ext>
            </a:extLst>
          </xdr:cNvPr>
          <xdr:cNvGrpSpPr/>
        </xdr:nvGrpSpPr>
        <xdr:grpSpPr>
          <a:xfrm>
            <a:off x="1340643" y="1653461"/>
            <a:ext cx="324542" cy="520724"/>
            <a:chOff x="1340643" y="1653461"/>
            <a:chExt cx="324542" cy="520724"/>
          </a:xfrm>
        </xdr:grpSpPr>
        <xdr:cxnSp macro="">
          <xdr:nvCxnSpPr>
            <xdr:cNvPr id="192" name="Straight Connector 191">
              <a:extLst>
                <a:ext uri="{FF2B5EF4-FFF2-40B4-BE49-F238E27FC236}">
                  <a16:creationId xmlns:a16="http://schemas.microsoft.com/office/drawing/2014/main" id="{5BA475AE-F223-D636-1D25-B75F7FDBED87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3C430CF7-90E1-C465-A871-AA1AF2A0B82D}"/>
                </a:ext>
              </a:extLst>
            </xdr:cNvPr>
            <xdr:cNvSpPr txBox="1"/>
          </xdr:nvSpPr>
          <xdr:spPr>
            <a:xfrm>
              <a:off x="1340643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5</a:t>
              </a:r>
            </a:p>
          </xdr:txBody>
        </xdr:sp>
      </xdr:grpSp>
    </xdr:grpSp>
    <xdr:clientData/>
  </xdr:twoCellAnchor>
  <xdr:twoCellAnchor>
    <xdr:from>
      <xdr:col>22</xdr:col>
      <xdr:colOff>378</xdr:colOff>
      <xdr:row>12</xdr:row>
      <xdr:rowOff>23812</xdr:rowOff>
    </xdr:from>
    <xdr:to>
      <xdr:col>22</xdr:col>
      <xdr:colOff>359466</xdr:colOff>
      <xdr:row>14</xdr:row>
      <xdr:rowOff>177039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8D7C6FCA-BC6B-4578-A118-0F78028ED3FF}"/>
            </a:ext>
          </a:extLst>
        </xdr:cNvPr>
        <xdr:cNvGrpSpPr/>
      </xdr:nvGrpSpPr>
      <xdr:grpSpPr>
        <a:xfrm>
          <a:off x="14280134" y="2470885"/>
          <a:ext cx="359088" cy="524934"/>
          <a:chOff x="1327841" y="1639958"/>
          <a:chExt cx="374975" cy="534227"/>
        </a:xfrm>
      </xdr:grpSpPr>
      <xdr:sp macro="" textlink="">
        <xdr:nvSpPr>
          <xdr:cNvPr id="195" name="Hexagon 194">
            <a:extLst>
              <a:ext uri="{FF2B5EF4-FFF2-40B4-BE49-F238E27FC236}">
                <a16:creationId xmlns:a16="http://schemas.microsoft.com/office/drawing/2014/main" id="{95DED7D6-F01F-D981-9762-318E23045F5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96" name="Group 195">
            <a:extLst>
              <a:ext uri="{FF2B5EF4-FFF2-40B4-BE49-F238E27FC236}">
                <a16:creationId xmlns:a16="http://schemas.microsoft.com/office/drawing/2014/main" id="{78F61EA2-E33D-CE4B-1E64-83C1F7E8920B}"/>
              </a:ext>
            </a:extLst>
          </xdr:cNvPr>
          <xdr:cNvGrpSpPr/>
        </xdr:nvGrpSpPr>
        <xdr:grpSpPr>
          <a:xfrm>
            <a:off x="1352874" y="1666874"/>
            <a:ext cx="349942" cy="507311"/>
            <a:chOff x="1352874" y="1666874"/>
            <a:chExt cx="349942" cy="507311"/>
          </a:xfrm>
        </xdr:grpSpPr>
        <xdr:cxnSp macro="">
          <xdr:nvCxnSpPr>
            <xdr:cNvPr id="197" name="Straight Connector 196">
              <a:extLst>
                <a:ext uri="{FF2B5EF4-FFF2-40B4-BE49-F238E27FC236}">
                  <a16:creationId xmlns:a16="http://schemas.microsoft.com/office/drawing/2014/main" id="{84B56B20-F900-ED98-6593-117C863E6DA5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8" name="TextBox 197">
              <a:extLst>
                <a:ext uri="{FF2B5EF4-FFF2-40B4-BE49-F238E27FC236}">
                  <a16:creationId xmlns:a16="http://schemas.microsoft.com/office/drawing/2014/main" id="{BFCBFACB-8957-DF1B-120E-F1DA7F6299CB}"/>
                </a:ext>
              </a:extLst>
            </xdr:cNvPr>
            <xdr:cNvSpPr txBox="1"/>
          </xdr:nvSpPr>
          <xdr:spPr>
            <a:xfrm>
              <a:off x="1352874" y="1666874"/>
              <a:ext cx="349942" cy="2413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7</a:t>
              </a:r>
            </a:p>
          </xdr:txBody>
        </xdr:sp>
      </xdr:grpSp>
    </xdr:grpSp>
    <xdr:clientData/>
  </xdr:twoCellAnchor>
  <xdr:twoCellAnchor>
    <xdr:from>
      <xdr:col>14</xdr:col>
      <xdr:colOff>214311</xdr:colOff>
      <xdr:row>12</xdr:row>
      <xdr:rowOff>59531</xdr:rowOff>
    </xdr:from>
    <xdr:to>
      <xdr:col>14</xdr:col>
      <xdr:colOff>589653</xdr:colOff>
      <xdr:row>15</xdr:row>
      <xdr:rowOff>10352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2D2FC415-28E3-4860-9770-EC1372FA1DB6}"/>
            </a:ext>
          </a:extLst>
        </xdr:cNvPr>
        <xdr:cNvGrpSpPr/>
      </xdr:nvGrpSpPr>
      <xdr:grpSpPr>
        <a:xfrm>
          <a:off x="9568945" y="2506604"/>
          <a:ext cx="375342" cy="508382"/>
          <a:chOff x="1304924" y="1639958"/>
          <a:chExt cx="375342" cy="534227"/>
        </a:xfrm>
      </xdr:grpSpPr>
      <xdr:sp macro="" textlink="">
        <xdr:nvSpPr>
          <xdr:cNvPr id="200" name="Hexagon 199">
            <a:extLst>
              <a:ext uri="{FF2B5EF4-FFF2-40B4-BE49-F238E27FC236}">
                <a16:creationId xmlns:a16="http://schemas.microsoft.com/office/drawing/2014/main" id="{0AB40464-275A-D1D6-F0BF-F67CB85ECF0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01" name="Group 200">
            <a:extLst>
              <a:ext uri="{FF2B5EF4-FFF2-40B4-BE49-F238E27FC236}">
                <a16:creationId xmlns:a16="http://schemas.microsoft.com/office/drawing/2014/main" id="{650B0BC9-E67E-D7EF-A23E-1C82EEB8A7EF}"/>
              </a:ext>
            </a:extLst>
          </xdr:cNvPr>
          <xdr:cNvGrpSpPr/>
        </xdr:nvGrpSpPr>
        <xdr:grpSpPr>
          <a:xfrm>
            <a:off x="1304924" y="1647163"/>
            <a:ext cx="375342" cy="527022"/>
            <a:chOff x="1304924" y="1647163"/>
            <a:chExt cx="375342" cy="527022"/>
          </a:xfrm>
        </xdr:grpSpPr>
        <xdr:cxnSp macro="">
          <xdr:nvCxnSpPr>
            <xdr:cNvPr id="202" name="Straight Connector 201">
              <a:extLst>
                <a:ext uri="{FF2B5EF4-FFF2-40B4-BE49-F238E27FC236}">
                  <a16:creationId xmlns:a16="http://schemas.microsoft.com/office/drawing/2014/main" id="{948BDE94-D11B-1B29-F2BE-2F5FA1053F1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3" name="TextBox 202">
              <a:extLst>
                <a:ext uri="{FF2B5EF4-FFF2-40B4-BE49-F238E27FC236}">
                  <a16:creationId xmlns:a16="http://schemas.microsoft.com/office/drawing/2014/main" id="{2825C59A-C02B-E181-1B98-23360029A3FD}"/>
                </a:ext>
              </a:extLst>
            </xdr:cNvPr>
            <xdr:cNvSpPr txBox="1"/>
          </xdr:nvSpPr>
          <xdr:spPr>
            <a:xfrm>
              <a:off x="1304924" y="1647163"/>
              <a:ext cx="375342" cy="21905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27</a:t>
              </a:r>
            </a:p>
          </xdr:txBody>
        </xdr:sp>
      </xdr:grpSp>
    </xdr:grpSp>
    <xdr:clientData/>
  </xdr:twoCellAnchor>
  <xdr:twoCellAnchor>
    <xdr:from>
      <xdr:col>19</xdr:col>
      <xdr:colOff>571499</xdr:colOff>
      <xdr:row>16</xdr:row>
      <xdr:rowOff>35719</xdr:rowOff>
    </xdr:from>
    <xdr:to>
      <xdr:col>20</xdr:col>
      <xdr:colOff>273843</xdr:colOff>
      <xdr:row>17</xdr:row>
      <xdr:rowOff>166687</xdr:rowOff>
    </xdr:to>
    <xdr:grpSp>
      <xdr:nvGrpSpPr>
        <xdr:cNvPr id="204" name="Group 203">
          <a:extLst>
            <a:ext uri="{FF2B5EF4-FFF2-40B4-BE49-F238E27FC236}">
              <a16:creationId xmlns:a16="http://schemas.microsoft.com/office/drawing/2014/main" id="{E575AD87-AE42-44FC-BAE4-C683FD39902F}"/>
            </a:ext>
          </a:extLst>
        </xdr:cNvPr>
        <xdr:cNvGrpSpPr/>
      </xdr:nvGrpSpPr>
      <xdr:grpSpPr>
        <a:xfrm>
          <a:off x="12946255" y="3226207"/>
          <a:ext cx="306368" cy="316821"/>
          <a:chOff x="6453188" y="3298031"/>
          <a:chExt cx="309562" cy="321468"/>
        </a:xfrm>
      </xdr:grpSpPr>
      <xdr:sp macro="" textlink="">
        <xdr:nvSpPr>
          <xdr:cNvPr id="205" name="Oval 204">
            <a:extLst>
              <a:ext uri="{FF2B5EF4-FFF2-40B4-BE49-F238E27FC236}">
                <a16:creationId xmlns:a16="http://schemas.microsoft.com/office/drawing/2014/main" id="{29B64B6A-6C83-F787-947C-A0F369145371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6" name="Isosceles Triangle 205">
            <a:extLst>
              <a:ext uri="{FF2B5EF4-FFF2-40B4-BE49-F238E27FC236}">
                <a16:creationId xmlns:a16="http://schemas.microsoft.com/office/drawing/2014/main" id="{AC3201D5-596D-3D97-B3CE-DA8BCFDC6D20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69056</xdr:colOff>
      <xdr:row>26</xdr:row>
      <xdr:rowOff>21431</xdr:rowOff>
    </xdr:from>
    <xdr:to>
      <xdr:col>28</xdr:col>
      <xdr:colOff>378618</xdr:colOff>
      <xdr:row>27</xdr:row>
      <xdr:rowOff>152399</xdr:rowOff>
    </xdr:to>
    <xdr:grpSp>
      <xdr:nvGrpSpPr>
        <xdr:cNvPr id="207" name="Group 206">
          <a:extLst>
            <a:ext uri="{FF2B5EF4-FFF2-40B4-BE49-F238E27FC236}">
              <a16:creationId xmlns:a16="http://schemas.microsoft.com/office/drawing/2014/main" id="{E45F4966-5C41-4BFA-A685-EEBF35573431}"/>
            </a:ext>
          </a:extLst>
        </xdr:cNvPr>
        <xdr:cNvGrpSpPr/>
      </xdr:nvGrpSpPr>
      <xdr:grpSpPr>
        <a:xfrm>
          <a:off x="18329178" y="5070455"/>
          <a:ext cx="309562" cy="316822"/>
          <a:chOff x="6453188" y="3298031"/>
          <a:chExt cx="309562" cy="321468"/>
        </a:xfrm>
      </xdr:grpSpPr>
      <xdr:sp macro="" textlink="">
        <xdr:nvSpPr>
          <xdr:cNvPr id="208" name="Oval 207">
            <a:extLst>
              <a:ext uri="{FF2B5EF4-FFF2-40B4-BE49-F238E27FC236}">
                <a16:creationId xmlns:a16="http://schemas.microsoft.com/office/drawing/2014/main" id="{F7A79F61-B625-4670-AA2B-617133647934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9" name="Isosceles Triangle 208">
            <a:extLst>
              <a:ext uri="{FF2B5EF4-FFF2-40B4-BE49-F238E27FC236}">
                <a16:creationId xmlns:a16="http://schemas.microsoft.com/office/drawing/2014/main" id="{F63B9074-DE81-BD39-194F-993472246738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170258</xdr:colOff>
      <xdr:row>10</xdr:row>
      <xdr:rowOff>175022</xdr:rowOff>
    </xdr:from>
    <xdr:to>
      <xdr:col>20</xdr:col>
      <xdr:colOff>584595</xdr:colOff>
      <xdr:row>12</xdr:row>
      <xdr:rowOff>120253</xdr:rowOff>
    </xdr:to>
    <xdr:grpSp>
      <xdr:nvGrpSpPr>
        <xdr:cNvPr id="210" name="Group 209">
          <a:extLst>
            <a:ext uri="{FF2B5EF4-FFF2-40B4-BE49-F238E27FC236}">
              <a16:creationId xmlns:a16="http://schemas.microsoft.com/office/drawing/2014/main" id="{C59C566B-119D-4D94-ACE2-A46BECFF6B05}"/>
            </a:ext>
          </a:extLst>
        </xdr:cNvPr>
        <xdr:cNvGrpSpPr/>
      </xdr:nvGrpSpPr>
      <xdr:grpSpPr>
        <a:xfrm rot="16200000">
          <a:off x="13197738" y="2201688"/>
          <a:ext cx="316938" cy="414337"/>
          <a:chOff x="7627144" y="3759997"/>
          <a:chExt cx="326231" cy="414337"/>
        </a:xfrm>
      </xdr:grpSpPr>
      <xdr:sp macro="" textlink="">
        <xdr:nvSpPr>
          <xdr:cNvPr id="211" name="Isosceles Triangle 210">
            <a:extLst>
              <a:ext uri="{FF2B5EF4-FFF2-40B4-BE49-F238E27FC236}">
                <a16:creationId xmlns:a16="http://schemas.microsoft.com/office/drawing/2014/main" id="{7C5BF1DC-C4CF-031E-E35F-0277C85A6EF7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2" name="Isosceles Triangle 211">
            <a:extLst>
              <a:ext uri="{FF2B5EF4-FFF2-40B4-BE49-F238E27FC236}">
                <a16:creationId xmlns:a16="http://schemas.microsoft.com/office/drawing/2014/main" id="{A4BA1795-34C5-CBEA-1EBD-99D26C6FD347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366CB1EC-87F9-A8E1-FA0C-58C8CF9C6AA2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636636DE-B363-C804-3AEB-C541B92624BE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23812</xdr:colOff>
      <xdr:row>10</xdr:row>
      <xdr:rowOff>47625</xdr:rowOff>
    </xdr:from>
    <xdr:to>
      <xdr:col>14</xdr:col>
      <xdr:colOff>350043</xdr:colOff>
      <xdr:row>12</xdr:row>
      <xdr:rowOff>80962</xdr:rowOff>
    </xdr:to>
    <xdr:grpSp>
      <xdr:nvGrpSpPr>
        <xdr:cNvPr id="215" name="Group 214">
          <a:extLst>
            <a:ext uri="{FF2B5EF4-FFF2-40B4-BE49-F238E27FC236}">
              <a16:creationId xmlns:a16="http://schemas.microsoft.com/office/drawing/2014/main" id="{07BD5916-6856-4735-B038-8DA452DF7913}"/>
            </a:ext>
          </a:extLst>
        </xdr:cNvPr>
        <xdr:cNvGrpSpPr/>
      </xdr:nvGrpSpPr>
      <xdr:grpSpPr>
        <a:xfrm>
          <a:off x="9378446" y="2122991"/>
          <a:ext cx="326231" cy="405044"/>
          <a:chOff x="7627144" y="3759997"/>
          <a:chExt cx="326231" cy="414337"/>
        </a:xfrm>
      </xdr:grpSpPr>
      <xdr:sp macro="" textlink="">
        <xdr:nvSpPr>
          <xdr:cNvPr id="216" name="Isosceles Triangle 215">
            <a:extLst>
              <a:ext uri="{FF2B5EF4-FFF2-40B4-BE49-F238E27FC236}">
                <a16:creationId xmlns:a16="http://schemas.microsoft.com/office/drawing/2014/main" id="{589F5FBD-84C0-2041-53F6-BFEAB09BDA17}"/>
              </a:ext>
            </a:extLst>
          </xdr:cNvPr>
          <xdr:cNvSpPr/>
        </xdr:nvSpPr>
        <xdr:spPr>
          <a:xfrm rot="10800000">
            <a:off x="7629525" y="3759997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7" name="Isosceles Triangle 216">
            <a:extLst>
              <a:ext uri="{FF2B5EF4-FFF2-40B4-BE49-F238E27FC236}">
                <a16:creationId xmlns:a16="http://schemas.microsoft.com/office/drawing/2014/main" id="{D8088365-9BFA-BAD1-CE6D-D314EC39411C}"/>
              </a:ext>
            </a:extLst>
          </xdr:cNvPr>
          <xdr:cNvSpPr/>
        </xdr:nvSpPr>
        <xdr:spPr>
          <a:xfrm>
            <a:off x="7627144" y="3960022"/>
            <a:ext cx="238125" cy="214312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1942A22C-064F-4EC3-ACA9-7612B55FEDE9}"/>
              </a:ext>
            </a:extLst>
          </xdr:cNvPr>
          <xdr:cNvCxnSpPr/>
        </xdr:nvCxnSpPr>
        <xdr:spPr>
          <a:xfrm>
            <a:off x="7750969" y="3964781"/>
            <a:ext cx="20240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8B6F628F-A494-346B-53D9-62FE1DEF9672}"/>
              </a:ext>
            </a:extLst>
          </xdr:cNvPr>
          <xdr:cNvCxnSpPr/>
        </xdr:nvCxnSpPr>
        <xdr:spPr>
          <a:xfrm>
            <a:off x="7953375" y="3845719"/>
            <a:ext cx="0" cy="23812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464344</xdr:colOff>
      <xdr:row>8</xdr:row>
      <xdr:rowOff>23813</xdr:rowOff>
    </xdr:from>
    <xdr:to>
      <xdr:col>22</xdr:col>
      <xdr:colOff>0</xdr:colOff>
      <xdr:row>9</xdr:row>
      <xdr:rowOff>154781</xdr:rowOff>
    </xdr:to>
    <xdr:grpSp>
      <xdr:nvGrpSpPr>
        <xdr:cNvPr id="220" name="Group 219">
          <a:extLst>
            <a:ext uri="{FF2B5EF4-FFF2-40B4-BE49-F238E27FC236}">
              <a16:creationId xmlns:a16="http://schemas.microsoft.com/office/drawing/2014/main" id="{772347DD-82FC-42C3-B112-FE9CCF32AD2C}"/>
            </a:ext>
          </a:extLst>
        </xdr:cNvPr>
        <xdr:cNvGrpSpPr/>
      </xdr:nvGrpSpPr>
      <xdr:grpSpPr>
        <a:xfrm rot="10800000">
          <a:off x="14047149" y="1727472"/>
          <a:ext cx="232607" cy="316821"/>
          <a:chOff x="6453188" y="3298031"/>
          <a:chExt cx="309562" cy="321468"/>
        </a:xfrm>
      </xdr:grpSpPr>
      <xdr:sp macro="" textlink="">
        <xdr:nvSpPr>
          <xdr:cNvPr id="221" name="Oval 220">
            <a:extLst>
              <a:ext uri="{FF2B5EF4-FFF2-40B4-BE49-F238E27FC236}">
                <a16:creationId xmlns:a16="http://schemas.microsoft.com/office/drawing/2014/main" id="{A03135C9-4EDD-A7D7-70F9-CF51C06AC114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2" name="Isosceles Triangle 221">
            <a:extLst>
              <a:ext uri="{FF2B5EF4-FFF2-40B4-BE49-F238E27FC236}">
                <a16:creationId xmlns:a16="http://schemas.microsoft.com/office/drawing/2014/main" id="{6D059E81-A6FF-20F5-7F74-35D8385E563E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583403</xdr:colOff>
      <xdr:row>9</xdr:row>
      <xdr:rowOff>107157</xdr:rowOff>
    </xdr:from>
    <xdr:to>
      <xdr:col>2</xdr:col>
      <xdr:colOff>71437</xdr:colOff>
      <xdr:row>11</xdr:row>
      <xdr:rowOff>47625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EA95D6BA-8791-4002-BB6D-F624005BAD4F}"/>
            </a:ext>
          </a:extLst>
        </xdr:cNvPr>
        <xdr:cNvGrpSpPr/>
      </xdr:nvGrpSpPr>
      <xdr:grpSpPr>
        <a:xfrm rot="10800000">
          <a:off x="1822427" y="1996669"/>
          <a:ext cx="200473" cy="312176"/>
          <a:chOff x="6453188" y="3298031"/>
          <a:chExt cx="309562" cy="321468"/>
        </a:xfrm>
      </xdr:grpSpPr>
      <xdr:sp macro="" textlink="">
        <xdr:nvSpPr>
          <xdr:cNvPr id="224" name="Oval 223">
            <a:extLst>
              <a:ext uri="{FF2B5EF4-FFF2-40B4-BE49-F238E27FC236}">
                <a16:creationId xmlns:a16="http://schemas.microsoft.com/office/drawing/2014/main" id="{8ADA3C39-72D1-83E9-39BE-4298142C0A20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5" name="Isosceles Triangle 224">
            <a:extLst>
              <a:ext uri="{FF2B5EF4-FFF2-40B4-BE49-F238E27FC236}">
                <a16:creationId xmlns:a16="http://schemas.microsoft.com/office/drawing/2014/main" id="{1226A80A-40E0-8327-4E12-2DF3346CEC18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107156</xdr:colOff>
      <xdr:row>16</xdr:row>
      <xdr:rowOff>35718</xdr:rowOff>
    </xdr:from>
    <xdr:to>
      <xdr:col>1</xdr:col>
      <xdr:colOff>416718</xdr:colOff>
      <xdr:row>17</xdr:row>
      <xdr:rowOff>166686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3684E439-66C9-4079-9381-4DD650885A87}"/>
            </a:ext>
          </a:extLst>
        </xdr:cNvPr>
        <xdr:cNvGrpSpPr/>
      </xdr:nvGrpSpPr>
      <xdr:grpSpPr>
        <a:xfrm>
          <a:off x="1346180" y="3226206"/>
          <a:ext cx="309562" cy="316821"/>
          <a:chOff x="6453188" y="3298031"/>
          <a:chExt cx="309562" cy="321468"/>
        </a:xfrm>
      </xdr:grpSpPr>
      <xdr:sp macro="" textlink="">
        <xdr:nvSpPr>
          <xdr:cNvPr id="227" name="Oval 226">
            <a:extLst>
              <a:ext uri="{FF2B5EF4-FFF2-40B4-BE49-F238E27FC236}">
                <a16:creationId xmlns:a16="http://schemas.microsoft.com/office/drawing/2014/main" id="{47661FB9-AFF3-F894-A769-4085D23CE829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8" name="Isosceles Triangle 227">
            <a:extLst>
              <a:ext uri="{FF2B5EF4-FFF2-40B4-BE49-F238E27FC236}">
                <a16:creationId xmlns:a16="http://schemas.microsoft.com/office/drawing/2014/main" id="{4CF811E6-CA2C-FF7B-A569-301BA2F46379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0</xdr:colOff>
      <xdr:row>8</xdr:row>
      <xdr:rowOff>11907</xdr:rowOff>
    </xdr:from>
    <xdr:to>
      <xdr:col>16</xdr:col>
      <xdr:colOff>309562</xdr:colOff>
      <xdr:row>9</xdr:row>
      <xdr:rowOff>142875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C2237229-4B25-4609-8A00-EB79CDC938B5}"/>
            </a:ext>
          </a:extLst>
        </xdr:cNvPr>
        <xdr:cNvGrpSpPr/>
      </xdr:nvGrpSpPr>
      <xdr:grpSpPr>
        <a:xfrm rot="10800000">
          <a:off x="10562683" y="1715566"/>
          <a:ext cx="309562" cy="316821"/>
          <a:chOff x="6453188" y="3298031"/>
          <a:chExt cx="309562" cy="321468"/>
        </a:xfrm>
      </xdr:grpSpPr>
      <xdr:sp macro="" textlink="">
        <xdr:nvSpPr>
          <xdr:cNvPr id="230" name="Oval 229">
            <a:extLst>
              <a:ext uri="{FF2B5EF4-FFF2-40B4-BE49-F238E27FC236}">
                <a16:creationId xmlns:a16="http://schemas.microsoft.com/office/drawing/2014/main" id="{A0150410-256B-DCEC-3BD0-52317884EAC6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1" name="Isosceles Triangle 230">
            <a:extLst>
              <a:ext uri="{FF2B5EF4-FFF2-40B4-BE49-F238E27FC236}">
                <a16:creationId xmlns:a16="http://schemas.microsoft.com/office/drawing/2014/main" id="{90583E00-B89C-CF12-2D39-9193017F77DC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15</xdr:col>
      <xdr:colOff>238126</xdr:colOff>
      <xdr:row>13</xdr:row>
      <xdr:rowOff>83343</xdr:rowOff>
    </xdr:from>
    <xdr:to>
      <xdr:col>15</xdr:col>
      <xdr:colOff>238126</xdr:colOff>
      <xdr:row>17</xdr:row>
      <xdr:rowOff>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CE5659D1-E3FF-43BB-9EF1-534440E15D79}"/>
            </a:ext>
          </a:extLst>
        </xdr:cNvPr>
        <xdr:cNvCxnSpPr/>
      </xdr:nvCxnSpPr>
      <xdr:spPr>
        <a:xfrm>
          <a:off x="10252076" y="2699543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13</xdr:row>
      <xdr:rowOff>83344</xdr:rowOff>
    </xdr:from>
    <xdr:to>
      <xdr:col>15</xdr:col>
      <xdr:colOff>559595</xdr:colOff>
      <xdr:row>13</xdr:row>
      <xdr:rowOff>83344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10D7F989-01C5-4AAE-AC0B-79588EAC61E3}"/>
            </a:ext>
          </a:extLst>
        </xdr:cNvPr>
        <xdr:cNvCxnSpPr/>
      </xdr:nvCxnSpPr>
      <xdr:spPr>
        <a:xfrm>
          <a:off x="9952038" y="2699544"/>
          <a:ext cx="621507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559592</xdr:colOff>
      <xdr:row>11</xdr:row>
      <xdr:rowOff>166686</xdr:rowOff>
    </xdr:from>
    <xdr:to>
      <xdr:col>14</xdr:col>
      <xdr:colOff>559592</xdr:colOff>
      <xdr:row>13</xdr:row>
      <xdr:rowOff>83342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4E694811-5513-4CEB-8545-44D252A900B1}"/>
            </a:ext>
          </a:extLst>
        </xdr:cNvPr>
        <xdr:cNvCxnSpPr/>
      </xdr:nvCxnSpPr>
      <xdr:spPr>
        <a:xfrm>
          <a:off x="9963942" y="2414586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223837</xdr:colOff>
      <xdr:row>11</xdr:row>
      <xdr:rowOff>152399</xdr:rowOff>
    </xdr:from>
    <xdr:to>
      <xdr:col>15</xdr:col>
      <xdr:colOff>223837</xdr:colOff>
      <xdr:row>13</xdr:row>
      <xdr:rowOff>69055</xdr:rowOff>
    </xdr:to>
    <xdr:cxnSp macro="">
      <xdr:nvCxnSpPr>
        <xdr:cNvPr id="235" name="Straight Arrow Connector 234">
          <a:extLst>
            <a:ext uri="{FF2B5EF4-FFF2-40B4-BE49-F238E27FC236}">
              <a16:creationId xmlns:a16="http://schemas.microsoft.com/office/drawing/2014/main" id="{3197EA11-DF03-4DAD-811D-067EC0D2327E}"/>
            </a:ext>
          </a:extLst>
        </xdr:cNvPr>
        <xdr:cNvCxnSpPr/>
      </xdr:nvCxnSpPr>
      <xdr:spPr>
        <a:xfrm>
          <a:off x="10237787" y="2400299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554831</xdr:colOff>
      <xdr:row>11</xdr:row>
      <xdr:rowOff>173830</xdr:rowOff>
    </xdr:from>
    <xdr:to>
      <xdr:col>15</xdr:col>
      <xdr:colOff>554831</xdr:colOff>
      <xdr:row>13</xdr:row>
      <xdr:rowOff>90486</xdr:rowOff>
    </xdr:to>
    <xdr:cxnSp macro="">
      <xdr:nvCxnSpPr>
        <xdr:cNvPr id="236" name="Straight Arrow Connector 235">
          <a:extLst>
            <a:ext uri="{FF2B5EF4-FFF2-40B4-BE49-F238E27FC236}">
              <a16:creationId xmlns:a16="http://schemas.microsoft.com/office/drawing/2014/main" id="{4E267BFB-170E-40D5-B837-D1B90DC6F3A4}"/>
            </a:ext>
          </a:extLst>
        </xdr:cNvPr>
        <xdr:cNvCxnSpPr/>
      </xdr:nvCxnSpPr>
      <xdr:spPr>
        <a:xfrm>
          <a:off x="10568781" y="2421730"/>
          <a:ext cx="0" cy="28495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404812</xdr:colOff>
      <xdr:row>10</xdr:row>
      <xdr:rowOff>71439</xdr:rowOff>
    </xdr:from>
    <xdr:to>
      <xdr:col>15</xdr:col>
      <xdr:colOff>137217</xdr:colOff>
      <xdr:row>11</xdr:row>
      <xdr:rowOff>165719</xdr:rowOff>
    </xdr:to>
    <xdr:grpSp>
      <xdr:nvGrpSpPr>
        <xdr:cNvPr id="237" name="Group 236">
          <a:extLst>
            <a:ext uri="{FF2B5EF4-FFF2-40B4-BE49-F238E27FC236}">
              <a16:creationId xmlns:a16="http://schemas.microsoft.com/office/drawing/2014/main" id="{0706BBCE-312D-4773-8ABB-9D535BBE4614}"/>
            </a:ext>
          </a:extLst>
        </xdr:cNvPr>
        <xdr:cNvGrpSpPr/>
      </xdr:nvGrpSpPr>
      <xdr:grpSpPr>
        <a:xfrm>
          <a:off x="9759446" y="2146805"/>
          <a:ext cx="336430" cy="280134"/>
          <a:chOff x="1304924" y="1639958"/>
          <a:chExt cx="375342" cy="291271"/>
        </a:xfrm>
      </xdr:grpSpPr>
      <xdr:sp macro="" textlink="">
        <xdr:nvSpPr>
          <xdr:cNvPr id="238" name="Hexagon 237">
            <a:extLst>
              <a:ext uri="{FF2B5EF4-FFF2-40B4-BE49-F238E27FC236}">
                <a16:creationId xmlns:a16="http://schemas.microsoft.com/office/drawing/2014/main" id="{5449C72F-6305-55F7-D972-298981FFA574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369DDB9C-6D72-1BFF-5AFB-1742D8A7DF65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34</a:t>
            </a:r>
          </a:p>
        </xdr:txBody>
      </xdr:sp>
    </xdr:grpSp>
    <xdr:clientData/>
  </xdr:twoCellAnchor>
  <xdr:twoCellAnchor>
    <xdr:from>
      <xdr:col>15</xdr:col>
      <xdr:colOff>69056</xdr:colOff>
      <xdr:row>10</xdr:row>
      <xdr:rowOff>57151</xdr:rowOff>
    </xdr:from>
    <xdr:to>
      <xdr:col>15</xdr:col>
      <xdr:colOff>444398</xdr:colOff>
      <xdr:row>11</xdr:row>
      <xdr:rowOff>151431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5F50F1F6-5799-4410-9A75-8C5ABDEC689B}"/>
            </a:ext>
          </a:extLst>
        </xdr:cNvPr>
        <xdr:cNvGrpSpPr/>
      </xdr:nvGrpSpPr>
      <xdr:grpSpPr>
        <a:xfrm>
          <a:off x="10027715" y="2132517"/>
          <a:ext cx="375342" cy="280134"/>
          <a:chOff x="1304924" y="1639958"/>
          <a:chExt cx="375342" cy="291271"/>
        </a:xfrm>
      </xdr:grpSpPr>
      <xdr:sp macro="" textlink="">
        <xdr:nvSpPr>
          <xdr:cNvPr id="241" name="Hexagon 240">
            <a:extLst>
              <a:ext uri="{FF2B5EF4-FFF2-40B4-BE49-F238E27FC236}">
                <a16:creationId xmlns:a16="http://schemas.microsoft.com/office/drawing/2014/main" id="{0B1D232F-ED1B-8254-40D5-C570221CA9BE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2" name="TextBox 241">
            <a:extLst>
              <a:ext uri="{FF2B5EF4-FFF2-40B4-BE49-F238E27FC236}">
                <a16:creationId xmlns:a16="http://schemas.microsoft.com/office/drawing/2014/main" id="{EA2D95FC-362B-6223-06BB-5E925F6BEC4E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35</a:t>
            </a:r>
          </a:p>
        </xdr:txBody>
      </xdr:sp>
    </xdr:grpSp>
    <xdr:clientData/>
  </xdr:twoCellAnchor>
  <xdr:twoCellAnchor>
    <xdr:from>
      <xdr:col>15</xdr:col>
      <xdr:colOff>400050</xdr:colOff>
      <xdr:row>10</xdr:row>
      <xdr:rowOff>66676</xdr:rowOff>
    </xdr:from>
    <xdr:to>
      <xdr:col>16</xdr:col>
      <xdr:colOff>1485</xdr:colOff>
      <xdr:row>11</xdr:row>
      <xdr:rowOff>160956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7DE678A9-18FB-49F7-8C0E-654CE2E90898}"/>
            </a:ext>
          </a:extLst>
        </xdr:cNvPr>
        <xdr:cNvGrpSpPr/>
      </xdr:nvGrpSpPr>
      <xdr:grpSpPr>
        <a:xfrm>
          <a:off x="10358709" y="2142042"/>
          <a:ext cx="205459" cy="280134"/>
          <a:chOff x="1304924" y="1639958"/>
          <a:chExt cx="375342" cy="291271"/>
        </a:xfrm>
      </xdr:grpSpPr>
      <xdr:sp macro="" textlink="">
        <xdr:nvSpPr>
          <xdr:cNvPr id="244" name="Hexagon 243">
            <a:extLst>
              <a:ext uri="{FF2B5EF4-FFF2-40B4-BE49-F238E27FC236}">
                <a16:creationId xmlns:a16="http://schemas.microsoft.com/office/drawing/2014/main" id="{F7DF992E-9D93-E9C5-7654-B340779D0C62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1E6AFD36-F771-52F7-A9C4-269136697D9C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36</a:t>
            </a:r>
          </a:p>
        </xdr:txBody>
      </xdr:sp>
    </xdr:grpSp>
    <xdr:clientData/>
  </xdr:twoCellAnchor>
  <xdr:twoCellAnchor>
    <xdr:from>
      <xdr:col>19</xdr:col>
      <xdr:colOff>476250</xdr:colOff>
      <xdr:row>17</xdr:row>
      <xdr:rowOff>11906</xdr:rowOff>
    </xdr:from>
    <xdr:to>
      <xdr:col>19</xdr:col>
      <xdr:colOff>476250</xdr:colOff>
      <xdr:row>18</xdr:row>
      <xdr:rowOff>119062</xdr:rowOff>
    </xdr:to>
    <xdr:cxnSp macro="">
      <xdr:nvCxnSpPr>
        <xdr:cNvPr id="246" name="Straight Arrow Connector 245">
          <a:extLst>
            <a:ext uri="{FF2B5EF4-FFF2-40B4-BE49-F238E27FC236}">
              <a16:creationId xmlns:a16="http://schemas.microsoft.com/office/drawing/2014/main" id="{9295B328-AE59-4E44-ADB2-728A012BE491}"/>
            </a:ext>
          </a:extLst>
        </xdr:cNvPr>
        <xdr:cNvCxnSpPr/>
      </xdr:nvCxnSpPr>
      <xdr:spPr>
        <a:xfrm>
          <a:off x="12928600" y="3364706"/>
          <a:ext cx="0" cy="291306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321469</xdr:colOff>
      <xdr:row>18</xdr:row>
      <xdr:rowOff>130969</xdr:rowOff>
    </xdr:from>
    <xdr:to>
      <xdr:col>20</xdr:col>
      <xdr:colOff>77686</xdr:colOff>
      <xdr:row>20</xdr:row>
      <xdr:rowOff>34749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36D88FAD-7B9B-43A5-91AF-6C9DBE986736}"/>
            </a:ext>
          </a:extLst>
        </xdr:cNvPr>
        <xdr:cNvGrpSpPr/>
      </xdr:nvGrpSpPr>
      <xdr:grpSpPr>
        <a:xfrm>
          <a:off x="12696225" y="3693164"/>
          <a:ext cx="360241" cy="275487"/>
          <a:chOff x="1304924" y="1639958"/>
          <a:chExt cx="375342" cy="291271"/>
        </a:xfrm>
      </xdr:grpSpPr>
      <xdr:sp macro="" textlink="">
        <xdr:nvSpPr>
          <xdr:cNvPr id="248" name="Hexagon 247">
            <a:extLst>
              <a:ext uri="{FF2B5EF4-FFF2-40B4-BE49-F238E27FC236}">
                <a16:creationId xmlns:a16="http://schemas.microsoft.com/office/drawing/2014/main" id="{FC9EF951-AA12-0FC0-7585-7CB6DEFDC1D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719E4BFE-F391-3BAE-510B-9B2576AE5985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37</a:t>
            </a:r>
          </a:p>
        </xdr:txBody>
      </xdr:sp>
    </xdr:grpSp>
    <xdr:clientData/>
  </xdr:twoCellAnchor>
  <xdr:twoCellAnchor>
    <xdr:from>
      <xdr:col>3</xdr:col>
      <xdr:colOff>690563</xdr:colOff>
      <xdr:row>6</xdr:row>
      <xdr:rowOff>145254</xdr:rowOff>
    </xdr:from>
    <xdr:to>
      <xdr:col>3</xdr:col>
      <xdr:colOff>690563</xdr:colOff>
      <xdr:row>10</xdr:row>
      <xdr:rowOff>61911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D21B321C-F763-4804-BDD5-EF851B4118D3}"/>
            </a:ext>
          </a:extLst>
        </xdr:cNvPr>
        <xdr:cNvCxnSpPr/>
      </xdr:nvCxnSpPr>
      <xdr:spPr>
        <a:xfrm>
          <a:off x="3249613" y="1472404"/>
          <a:ext cx="0" cy="65325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345280</xdr:colOff>
      <xdr:row>5</xdr:row>
      <xdr:rowOff>38097</xdr:rowOff>
    </xdr:from>
    <xdr:to>
      <xdr:col>3</xdr:col>
      <xdr:colOff>345280</xdr:colOff>
      <xdr:row>6</xdr:row>
      <xdr:rowOff>145253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BC520448-104E-4E8C-9C78-821C049C0510}"/>
            </a:ext>
          </a:extLst>
        </xdr:cNvPr>
        <xdr:cNvCxnSpPr/>
      </xdr:nvCxnSpPr>
      <xdr:spPr>
        <a:xfrm>
          <a:off x="2904330" y="1181097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673894</xdr:colOff>
      <xdr:row>5</xdr:row>
      <xdr:rowOff>33334</xdr:rowOff>
    </xdr:from>
    <xdr:to>
      <xdr:col>3</xdr:col>
      <xdr:colOff>673894</xdr:colOff>
      <xdr:row>6</xdr:row>
      <xdr:rowOff>140490</xdr:rowOff>
    </xdr:to>
    <xdr:cxnSp macro="">
      <xdr:nvCxnSpPr>
        <xdr:cNvPr id="252" name="Straight Arrow Connector 251">
          <a:extLst>
            <a:ext uri="{FF2B5EF4-FFF2-40B4-BE49-F238E27FC236}">
              <a16:creationId xmlns:a16="http://schemas.microsoft.com/office/drawing/2014/main" id="{65EB7A10-48D4-4C6D-A49E-A373E1E88206}"/>
            </a:ext>
          </a:extLst>
        </xdr:cNvPr>
        <xdr:cNvCxnSpPr/>
      </xdr:nvCxnSpPr>
      <xdr:spPr>
        <a:xfrm>
          <a:off x="3232944" y="1176334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</xdr:row>
      <xdr:rowOff>133350</xdr:rowOff>
    </xdr:from>
    <xdr:to>
      <xdr:col>3</xdr:col>
      <xdr:colOff>565842</xdr:colOff>
      <xdr:row>5</xdr:row>
      <xdr:rowOff>37130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A3089C24-7EDF-4BDD-82FB-0883288CC7D8}"/>
            </a:ext>
          </a:extLst>
        </xdr:cNvPr>
        <xdr:cNvGrpSpPr/>
      </xdr:nvGrpSpPr>
      <xdr:grpSpPr>
        <a:xfrm>
          <a:off x="2745988" y="907740"/>
          <a:ext cx="375342" cy="275488"/>
          <a:chOff x="1304924" y="1639958"/>
          <a:chExt cx="375342" cy="291271"/>
        </a:xfrm>
      </xdr:grpSpPr>
      <xdr:sp macro="" textlink="">
        <xdr:nvSpPr>
          <xdr:cNvPr id="254" name="Hexagon 253">
            <a:extLst>
              <a:ext uri="{FF2B5EF4-FFF2-40B4-BE49-F238E27FC236}">
                <a16:creationId xmlns:a16="http://schemas.microsoft.com/office/drawing/2014/main" id="{17E60473-B63D-8C26-270F-5112C5A412B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793562C3-C1E6-9A53-EA3C-9DEE79900123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38</a:t>
            </a:r>
          </a:p>
        </xdr:txBody>
      </xdr:sp>
    </xdr:grpSp>
    <xdr:clientData/>
  </xdr:twoCellAnchor>
  <xdr:twoCellAnchor>
    <xdr:from>
      <xdr:col>3</xdr:col>
      <xdr:colOff>519113</xdr:colOff>
      <xdr:row>3</xdr:row>
      <xdr:rowOff>130968</xdr:rowOff>
    </xdr:from>
    <xdr:to>
      <xdr:col>4</xdr:col>
      <xdr:colOff>952</xdr:colOff>
      <xdr:row>5</xdr:row>
      <xdr:rowOff>20462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E43D0507-DE8C-40AE-888D-0F2C1396135E}"/>
            </a:ext>
          </a:extLst>
        </xdr:cNvPr>
        <xdr:cNvGrpSpPr/>
      </xdr:nvGrpSpPr>
      <xdr:grpSpPr>
        <a:xfrm>
          <a:off x="3074601" y="905358"/>
          <a:ext cx="287205" cy="261202"/>
          <a:chOff x="1304924" y="1639958"/>
          <a:chExt cx="375342" cy="291271"/>
        </a:xfrm>
      </xdr:grpSpPr>
      <xdr:sp macro="" textlink="">
        <xdr:nvSpPr>
          <xdr:cNvPr id="257" name="Hexagon 256">
            <a:extLst>
              <a:ext uri="{FF2B5EF4-FFF2-40B4-BE49-F238E27FC236}">
                <a16:creationId xmlns:a16="http://schemas.microsoft.com/office/drawing/2014/main" id="{8C0A2832-2346-530F-367A-34761802F705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B1E1CA51-C376-4B30-A4F2-DF3AA0AF5029}"/>
              </a:ext>
            </a:extLst>
          </xdr:cNvPr>
          <xdr:cNvSpPr txBox="1"/>
        </xdr:nvSpPr>
        <xdr:spPr>
          <a:xfrm>
            <a:off x="1304924" y="1659340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39</a:t>
            </a:r>
          </a:p>
        </xdr:txBody>
      </xdr:sp>
    </xdr:grpSp>
    <xdr:clientData/>
  </xdr:twoCellAnchor>
  <xdr:twoCellAnchor>
    <xdr:from>
      <xdr:col>3</xdr:col>
      <xdr:colOff>345281</xdr:colOff>
      <xdr:row>6</xdr:row>
      <xdr:rowOff>142875</xdr:rowOff>
    </xdr:from>
    <xdr:to>
      <xdr:col>4</xdr:col>
      <xdr:colOff>71437</xdr:colOff>
      <xdr:row>6</xdr:row>
      <xdr:rowOff>142875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E96DC61F-1232-4A00-8296-6C57367F11D1}"/>
            </a:ext>
          </a:extLst>
        </xdr:cNvPr>
        <xdr:cNvCxnSpPr/>
      </xdr:nvCxnSpPr>
      <xdr:spPr>
        <a:xfrm>
          <a:off x="2904331" y="1470025"/>
          <a:ext cx="538956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639603</xdr:colOff>
      <xdr:row>3</xdr:row>
      <xdr:rowOff>130969</xdr:rowOff>
    </xdr:from>
    <xdr:to>
      <xdr:col>4</xdr:col>
      <xdr:colOff>280091</xdr:colOff>
      <xdr:row>5</xdr:row>
      <xdr:rowOff>34749</xdr:rowOff>
    </xdr:to>
    <xdr:grpSp>
      <xdr:nvGrpSpPr>
        <xdr:cNvPr id="260" name="Group 259">
          <a:extLst>
            <a:ext uri="{FF2B5EF4-FFF2-40B4-BE49-F238E27FC236}">
              <a16:creationId xmlns:a16="http://schemas.microsoft.com/office/drawing/2014/main" id="{53D65AAC-B271-4FDB-884E-B44AA4FC3EB6}"/>
            </a:ext>
          </a:extLst>
        </xdr:cNvPr>
        <xdr:cNvGrpSpPr/>
      </xdr:nvGrpSpPr>
      <xdr:grpSpPr>
        <a:xfrm>
          <a:off x="3195091" y="905359"/>
          <a:ext cx="445854" cy="275488"/>
          <a:chOff x="1614485" y="1639960"/>
          <a:chExt cx="375342" cy="291271"/>
        </a:xfrm>
      </xdr:grpSpPr>
      <xdr:sp macro="" textlink="">
        <xdr:nvSpPr>
          <xdr:cNvPr id="261" name="Hexagon 260">
            <a:extLst>
              <a:ext uri="{FF2B5EF4-FFF2-40B4-BE49-F238E27FC236}">
                <a16:creationId xmlns:a16="http://schemas.microsoft.com/office/drawing/2014/main" id="{0AAB8AA5-DD77-A84C-7567-BA889874AA20}"/>
              </a:ext>
            </a:extLst>
          </xdr:cNvPr>
          <xdr:cNvSpPr/>
        </xdr:nvSpPr>
        <xdr:spPr>
          <a:xfrm rot="5400000">
            <a:off x="1629812" y="1647552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5E40B1E-B25D-1A2B-2019-7E6E65E4D212}"/>
              </a:ext>
            </a:extLst>
          </xdr:cNvPr>
          <xdr:cNvSpPr txBox="1"/>
        </xdr:nvSpPr>
        <xdr:spPr>
          <a:xfrm>
            <a:off x="1614485" y="1671518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40</a:t>
            </a:r>
          </a:p>
        </xdr:txBody>
      </xdr:sp>
    </xdr:grpSp>
    <xdr:clientData/>
  </xdr:twoCellAnchor>
  <xdr:twoCellAnchor>
    <xdr:from>
      <xdr:col>4</xdr:col>
      <xdr:colOff>71437</xdr:colOff>
      <xdr:row>5</xdr:row>
      <xdr:rowOff>59531</xdr:rowOff>
    </xdr:from>
    <xdr:to>
      <xdr:col>4</xdr:col>
      <xdr:colOff>71437</xdr:colOff>
      <xdr:row>6</xdr:row>
      <xdr:rowOff>166687</xdr:rowOff>
    </xdr:to>
    <xdr:cxnSp macro="">
      <xdr:nvCxnSpPr>
        <xdr:cNvPr id="263" name="Straight Arrow Connector 262">
          <a:extLst>
            <a:ext uri="{FF2B5EF4-FFF2-40B4-BE49-F238E27FC236}">
              <a16:creationId xmlns:a16="http://schemas.microsoft.com/office/drawing/2014/main" id="{838D785C-2A8B-492E-8657-C5679F20C280}"/>
            </a:ext>
          </a:extLst>
        </xdr:cNvPr>
        <xdr:cNvCxnSpPr/>
      </xdr:nvCxnSpPr>
      <xdr:spPr>
        <a:xfrm>
          <a:off x="3443287" y="1202531"/>
          <a:ext cx="0" cy="291306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242889</xdr:colOff>
      <xdr:row>17</xdr:row>
      <xdr:rowOff>23813</xdr:rowOff>
    </xdr:from>
    <xdr:to>
      <xdr:col>15</xdr:col>
      <xdr:colOff>242889</xdr:colOff>
      <xdr:row>19</xdr:row>
      <xdr:rowOff>23812</xdr:rowOff>
    </xdr:to>
    <xdr:cxnSp macro="">
      <xdr:nvCxnSpPr>
        <xdr:cNvPr id="264" name="Straight Arrow Connector 263">
          <a:extLst>
            <a:ext uri="{FF2B5EF4-FFF2-40B4-BE49-F238E27FC236}">
              <a16:creationId xmlns:a16="http://schemas.microsoft.com/office/drawing/2014/main" id="{B323E5FC-4D41-4C18-AAAE-02749D881745}"/>
            </a:ext>
          </a:extLst>
        </xdr:cNvPr>
        <xdr:cNvCxnSpPr/>
      </xdr:nvCxnSpPr>
      <xdr:spPr>
        <a:xfrm>
          <a:off x="10256839" y="3376613"/>
          <a:ext cx="0" cy="368299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83344</xdr:colOff>
      <xdr:row>19</xdr:row>
      <xdr:rowOff>7145</xdr:rowOff>
    </xdr:from>
    <xdr:to>
      <xdr:col>15</xdr:col>
      <xdr:colOff>458686</xdr:colOff>
      <xdr:row>20</xdr:row>
      <xdr:rowOff>101425</xdr:rowOff>
    </xdr:to>
    <xdr:grpSp>
      <xdr:nvGrpSpPr>
        <xdr:cNvPr id="265" name="Group 264">
          <a:extLst>
            <a:ext uri="{FF2B5EF4-FFF2-40B4-BE49-F238E27FC236}">
              <a16:creationId xmlns:a16="http://schemas.microsoft.com/office/drawing/2014/main" id="{9F285489-7857-49F4-A6A4-03D93ADA2996}"/>
            </a:ext>
          </a:extLst>
        </xdr:cNvPr>
        <xdr:cNvGrpSpPr/>
      </xdr:nvGrpSpPr>
      <xdr:grpSpPr>
        <a:xfrm>
          <a:off x="10042003" y="3755194"/>
          <a:ext cx="375342" cy="280133"/>
          <a:chOff x="1304924" y="1639958"/>
          <a:chExt cx="375342" cy="291271"/>
        </a:xfrm>
      </xdr:grpSpPr>
      <xdr:sp macro="" textlink="">
        <xdr:nvSpPr>
          <xdr:cNvPr id="266" name="Hexagon 265">
            <a:extLst>
              <a:ext uri="{FF2B5EF4-FFF2-40B4-BE49-F238E27FC236}">
                <a16:creationId xmlns:a16="http://schemas.microsoft.com/office/drawing/2014/main" id="{A7183B54-335F-4760-A64A-34AFCF474449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CDBB5E10-1EF6-9497-5603-550326154C8A}"/>
              </a:ext>
            </a:extLst>
          </xdr:cNvPr>
          <xdr:cNvSpPr txBox="1"/>
        </xdr:nvSpPr>
        <xdr:spPr>
          <a:xfrm>
            <a:off x="1304924" y="1647163"/>
            <a:ext cx="375342" cy="2190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41</a:t>
            </a:r>
          </a:p>
        </xdr:txBody>
      </xdr:sp>
    </xdr:grpSp>
    <xdr:clientData/>
  </xdr:twoCellAnchor>
  <xdr:twoCellAnchor>
    <xdr:from>
      <xdr:col>25</xdr:col>
      <xdr:colOff>166689</xdr:colOff>
      <xdr:row>18</xdr:row>
      <xdr:rowOff>166688</xdr:rowOff>
    </xdr:from>
    <xdr:to>
      <xdr:col>25</xdr:col>
      <xdr:colOff>773907</xdr:colOff>
      <xdr:row>23</xdr:row>
      <xdr:rowOff>11906</xdr:rowOff>
    </xdr:to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B9018A0B-85A9-42C0-859F-47C901A9B2DD}"/>
            </a:ext>
          </a:extLst>
        </xdr:cNvPr>
        <xdr:cNvSpPr txBox="1"/>
      </xdr:nvSpPr>
      <xdr:spPr>
        <a:xfrm>
          <a:off x="16530639" y="3703638"/>
          <a:ext cx="607218" cy="765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Strong/ Weak HX-1</a:t>
          </a:r>
        </a:p>
      </xdr:txBody>
    </xdr:sp>
    <xdr:clientData/>
  </xdr:twoCellAnchor>
  <xdr:twoCellAnchor>
    <xdr:from>
      <xdr:col>23</xdr:col>
      <xdr:colOff>95250</xdr:colOff>
      <xdr:row>10</xdr:row>
      <xdr:rowOff>0</xdr:rowOff>
    </xdr:from>
    <xdr:to>
      <xdr:col>23</xdr:col>
      <xdr:colOff>702469</xdr:colOff>
      <xdr:row>13</xdr:row>
      <xdr:rowOff>178592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830C455D-69D3-4FA5-ACF3-5E6EF4DBEA03}"/>
            </a:ext>
          </a:extLst>
        </xdr:cNvPr>
        <xdr:cNvSpPr/>
      </xdr:nvSpPr>
      <xdr:spPr>
        <a:xfrm>
          <a:off x="15240000" y="2063750"/>
          <a:ext cx="511969" cy="73104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23813</xdr:colOff>
      <xdr:row>10</xdr:row>
      <xdr:rowOff>-1</xdr:rowOff>
    </xdr:from>
    <xdr:to>
      <xdr:col>23</xdr:col>
      <xdr:colOff>773906</xdr:colOff>
      <xdr:row>14</xdr:row>
      <xdr:rowOff>35717</xdr:rowOff>
    </xdr:to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3878D868-5268-4C25-A74E-CD0984474503}"/>
            </a:ext>
          </a:extLst>
        </xdr:cNvPr>
        <xdr:cNvSpPr txBox="1"/>
      </xdr:nvSpPr>
      <xdr:spPr>
        <a:xfrm>
          <a:off x="15168563" y="2063749"/>
          <a:ext cx="584993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Supt/      Cold Water HX-4</a:t>
          </a:r>
        </a:p>
      </xdr:txBody>
    </xdr:sp>
    <xdr:clientData/>
  </xdr:twoCellAnchor>
  <xdr:twoCellAnchor>
    <xdr:from>
      <xdr:col>23</xdr:col>
      <xdr:colOff>559593</xdr:colOff>
      <xdr:row>5</xdr:row>
      <xdr:rowOff>71436</xdr:rowOff>
    </xdr:from>
    <xdr:to>
      <xdr:col>24</xdr:col>
      <xdr:colOff>321468</xdr:colOff>
      <xdr:row>5</xdr:row>
      <xdr:rowOff>71436</xdr:rowOff>
    </xdr:to>
    <xdr:cxnSp macro="">
      <xdr:nvCxnSpPr>
        <xdr:cNvPr id="271" name="Straight Connector 270">
          <a:extLst>
            <a:ext uri="{FF2B5EF4-FFF2-40B4-BE49-F238E27FC236}">
              <a16:creationId xmlns:a16="http://schemas.microsoft.com/office/drawing/2014/main" id="{E0B5E54F-7C57-4CDF-B1E3-07D4AB33506D}"/>
            </a:ext>
          </a:extLst>
        </xdr:cNvPr>
        <xdr:cNvCxnSpPr/>
      </xdr:nvCxnSpPr>
      <xdr:spPr>
        <a:xfrm>
          <a:off x="15704343" y="1214436"/>
          <a:ext cx="371475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297657</xdr:colOff>
      <xdr:row>5</xdr:row>
      <xdr:rowOff>59531</xdr:rowOff>
    </xdr:from>
    <xdr:to>
      <xdr:col>24</xdr:col>
      <xdr:colOff>297657</xdr:colOff>
      <xdr:row>10</xdr:row>
      <xdr:rowOff>47625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90E1B27-4C90-4BA3-9337-471223DF197E}"/>
            </a:ext>
          </a:extLst>
        </xdr:cNvPr>
        <xdr:cNvCxnSpPr/>
      </xdr:nvCxnSpPr>
      <xdr:spPr>
        <a:xfrm>
          <a:off x="16052007" y="1202531"/>
          <a:ext cx="0" cy="908844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702469</xdr:colOff>
      <xdr:row>10</xdr:row>
      <xdr:rowOff>35717</xdr:rowOff>
    </xdr:from>
    <xdr:to>
      <xdr:col>24</xdr:col>
      <xdr:colOff>297656</xdr:colOff>
      <xdr:row>10</xdr:row>
      <xdr:rowOff>35717</xdr:rowOff>
    </xdr:to>
    <xdr:cxnSp macro="">
      <xdr:nvCxnSpPr>
        <xdr:cNvPr id="273" name="Straight Arrow Connector 272">
          <a:extLst>
            <a:ext uri="{FF2B5EF4-FFF2-40B4-BE49-F238E27FC236}">
              <a16:creationId xmlns:a16="http://schemas.microsoft.com/office/drawing/2014/main" id="{CC30C93D-87C0-4A64-9330-51C98081F7D2}"/>
            </a:ext>
          </a:extLst>
        </xdr:cNvPr>
        <xdr:cNvCxnSpPr/>
      </xdr:nvCxnSpPr>
      <xdr:spPr>
        <a:xfrm flipH="1">
          <a:off x="15751969" y="2099467"/>
          <a:ext cx="300037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4</xdr:row>
      <xdr:rowOff>35719</xdr:rowOff>
    </xdr:from>
    <xdr:to>
      <xdr:col>22</xdr:col>
      <xdr:colOff>491229</xdr:colOff>
      <xdr:row>6</xdr:row>
      <xdr:rowOff>179387</xdr:rowOff>
    </xdr:to>
    <xdr:grpSp>
      <xdr:nvGrpSpPr>
        <xdr:cNvPr id="274" name="Group 273">
          <a:extLst>
            <a:ext uri="{FF2B5EF4-FFF2-40B4-BE49-F238E27FC236}">
              <a16:creationId xmlns:a16="http://schemas.microsoft.com/office/drawing/2014/main" id="{C7F8C3E6-9A2F-4B6E-9AFD-482CD6533731}"/>
            </a:ext>
          </a:extLst>
        </xdr:cNvPr>
        <xdr:cNvGrpSpPr/>
      </xdr:nvGrpSpPr>
      <xdr:grpSpPr>
        <a:xfrm>
          <a:off x="14446443" y="995963"/>
          <a:ext cx="324542" cy="515375"/>
          <a:chOff x="1304924" y="1639958"/>
          <a:chExt cx="324542" cy="534227"/>
        </a:xfrm>
      </xdr:grpSpPr>
      <xdr:sp macro="" textlink="">
        <xdr:nvSpPr>
          <xdr:cNvPr id="275" name="Hexagon 274">
            <a:extLst>
              <a:ext uri="{FF2B5EF4-FFF2-40B4-BE49-F238E27FC236}">
                <a16:creationId xmlns:a16="http://schemas.microsoft.com/office/drawing/2014/main" id="{4DED7C61-D839-4F6B-76FB-43497B47157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76" name="Group 275">
            <a:extLst>
              <a:ext uri="{FF2B5EF4-FFF2-40B4-BE49-F238E27FC236}">
                <a16:creationId xmlns:a16="http://schemas.microsoft.com/office/drawing/2014/main" id="{673AC0C2-A79E-D394-8529-7B25EDC0A07E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77" name="Straight Connector 276">
              <a:extLst>
                <a:ext uri="{FF2B5EF4-FFF2-40B4-BE49-F238E27FC236}">
                  <a16:creationId xmlns:a16="http://schemas.microsoft.com/office/drawing/2014/main" id="{9E47BD10-320D-8166-78A7-488B1670B02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8" name="TextBox 277">
              <a:extLst>
                <a:ext uri="{FF2B5EF4-FFF2-40B4-BE49-F238E27FC236}">
                  <a16:creationId xmlns:a16="http://schemas.microsoft.com/office/drawing/2014/main" id="{DCD1AE30-6776-138E-ACA9-E268AC879757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20</a:t>
              </a:r>
            </a:p>
          </xdr:txBody>
        </xdr:sp>
      </xdr:grpSp>
    </xdr:grpSp>
    <xdr:clientData/>
  </xdr:twoCellAnchor>
  <xdr:twoCellAnchor>
    <xdr:from>
      <xdr:col>22</xdr:col>
      <xdr:colOff>511968</xdr:colOff>
      <xdr:row>5</xdr:row>
      <xdr:rowOff>71438</xdr:rowOff>
    </xdr:from>
    <xdr:to>
      <xdr:col>23</xdr:col>
      <xdr:colOff>59531</xdr:colOff>
      <xdr:row>5</xdr:row>
      <xdr:rowOff>71438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864311D1-5715-45BC-ACB4-FDE0AF31E4D5}"/>
            </a:ext>
          </a:extLst>
        </xdr:cNvPr>
        <xdr:cNvCxnSpPr/>
      </xdr:nvCxnSpPr>
      <xdr:spPr>
        <a:xfrm>
          <a:off x="14875668" y="1214438"/>
          <a:ext cx="328613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511969</xdr:colOff>
      <xdr:row>5</xdr:row>
      <xdr:rowOff>71438</xdr:rowOff>
    </xdr:from>
    <xdr:to>
      <xdr:col>22</xdr:col>
      <xdr:colOff>511969</xdr:colOff>
      <xdr:row>10</xdr:row>
      <xdr:rowOff>47624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4C650991-867C-4F9D-96FF-70E5157A84C3}"/>
            </a:ext>
          </a:extLst>
        </xdr:cNvPr>
        <xdr:cNvCxnSpPr/>
      </xdr:nvCxnSpPr>
      <xdr:spPr>
        <a:xfrm>
          <a:off x="14875669" y="1214438"/>
          <a:ext cx="0" cy="896936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523875</xdr:colOff>
      <xdr:row>10</xdr:row>
      <xdr:rowOff>47625</xdr:rowOff>
    </xdr:from>
    <xdr:to>
      <xdr:col>23</xdr:col>
      <xdr:colOff>95249</xdr:colOff>
      <xdr:row>10</xdr:row>
      <xdr:rowOff>47625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D6C0B022-19E3-4B86-A43F-93EF25022D2F}"/>
            </a:ext>
          </a:extLst>
        </xdr:cNvPr>
        <xdr:cNvCxnSpPr/>
      </xdr:nvCxnSpPr>
      <xdr:spPr>
        <a:xfrm>
          <a:off x="14887575" y="2111375"/>
          <a:ext cx="352424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136922</xdr:colOff>
      <xdr:row>6</xdr:row>
      <xdr:rowOff>77391</xdr:rowOff>
    </xdr:from>
    <xdr:to>
      <xdr:col>24</xdr:col>
      <xdr:colOff>458390</xdr:colOff>
      <xdr:row>8</xdr:row>
      <xdr:rowOff>5953</xdr:rowOff>
    </xdr:to>
    <xdr:grpSp>
      <xdr:nvGrpSpPr>
        <xdr:cNvPr id="282" name="Group 281">
          <a:extLst>
            <a:ext uri="{FF2B5EF4-FFF2-40B4-BE49-F238E27FC236}">
              <a16:creationId xmlns:a16="http://schemas.microsoft.com/office/drawing/2014/main" id="{31D01C74-5025-4885-8852-35B369A7D4A5}"/>
            </a:ext>
          </a:extLst>
        </xdr:cNvPr>
        <xdr:cNvGrpSpPr/>
      </xdr:nvGrpSpPr>
      <xdr:grpSpPr>
        <a:xfrm rot="5400000">
          <a:off x="15805692" y="1398743"/>
          <a:ext cx="300270" cy="321468"/>
          <a:chOff x="6453188" y="3298031"/>
          <a:chExt cx="309562" cy="321468"/>
        </a:xfrm>
      </xdr:grpSpPr>
      <xdr:sp macro="" textlink="">
        <xdr:nvSpPr>
          <xdr:cNvPr id="283" name="Oval 282">
            <a:extLst>
              <a:ext uri="{FF2B5EF4-FFF2-40B4-BE49-F238E27FC236}">
                <a16:creationId xmlns:a16="http://schemas.microsoft.com/office/drawing/2014/main" id="{AE38DB85-74FC-8DDA-074D-EA49560CFC97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4" name="Isosceles Triangle 283">
            <a:extLst>
              <a:ext uri="{FF2B5EF4-FFF2-40B4-BE49-F238E27FC236}">
                <a16:creationId xmlns:a16="http://schemas.microsoft.com/office/drawing/2014/main" id="{1A797106-482D-D17F-559C-B7853E76D844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202405</xdr:colOff>
      <xdr:row>10</xdr:row>
      <xdr:rowOff>59531</xdr:rowOff>
    </xdr:from>
    <xdr:to>
      <xdr:col>24</xdr:col>
      <xdr:colOff>546790</xdr:colOff>
      <xdr:row>12</xdr:row>
      <xdr:rowOff>181008</xdr:rowOff>
    </xdr:to>
    <xdr:grpSp>
      <xdr:nvGrpSpPr>
        <xdr:cNvPr id="285" name="Group 284">
          <a:extLst>
            <a:ext uri="{FF2B5EF4-FFF2-40B4-BE49-F238E27FC236}">
              <a16:creationId xmlns:a16="http://schemas.microsoft.com/office/drawing/2014/main" id="{7357CA22-B3BD-42CE-9A79-F452A8A16A01}"/>
            </a:ext>
          </a:extLst>
        </xdr:cNvPr>
        <xdr:cNvGrpSpPr/>
      </xdr:nvGrpSpPr>
      <xdr:grpSpPr>
        <a:xfrm>
          <a:off x="15860576" y="2134897"/>
          <a:ext cx="344385" cy="493184"/>
          <a:chOff x="1295399" y="1639958"/>
          <a:chExt cx="346767" cy="534227"/>
        </a:xfrm>
      </xdr:grpSpPr>
      <xdr:sp macro="" textlink="">
        <xdr:nvSpPr>
          <xdr:cNvPr id="286" name="Hexagon 285">
            <a:extLst>
              <a:ext uri="{FF2B5EF4-FFF2-40B4-BE49-F238E27FC236}">
                <a16:creationId xmlns:a16="http://schemas.microsoft.com/office/drawing/2014/main" id="{FE181FA4-D84C-AFE7-DFE9-2E11617106B1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87" name="Group 286">
            <a:extLst>
              <a:ext uri="{FF2B5EF4-FFF2-40B4-BE49-F238E27FC236}">
                <a16:creationId xmlns:a16="http://schemas.microsoft.com/office/drawing/2014/main" id="{05AD49E9-599D-35F5-4B51-4F14D5C5C193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288" name="Straight Connector 287">
              <a:extLst>
                <a:ext uri="{FF2B5EF4-FFF2-40B4-BE49-F238E27FC236}">
                  <a16:creationId xmlns:a16="http://schemas.microsoft.com/office/drawing/2014/main" id="{DCF418D6-C5B0-028F-D20D-319F1A49999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9" name="TextBox 288">
              <a:extLst>
                <a:ext uri="{FF2B5EF4-FFF2-40B4-BE49-F238E27FC236}">
                  <a16:creationId xmlns:a16="http://schemas.microsoft.com/office/drawing/2014/main" id="{D28624EB-EE76-992C-C712-B66E6999A1FE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18</a:t>
              </a:r>
            </a:p>
          </xdr:txBody>
        </xdr:sp>
      </xdr:grpSp>
    </xdr:grpSp>
    <xdr:clientData/>
  </xdr:twoCellAnchor>
  <xdr:twoCellAnchor>
    <xdr:from>
      <xdr:col>22</xdr:col>
      <xdr:colOff>392906</xdr:colOff>
      <xdr:row>13</xdr:row>
      <xdr:rowOff>0</xdr:rowOff>
    </xdr:from>
    <xdr:to>
      <xdr:col>23</xdr:col>
      <xdr:colOff>71437</xdr:colOff>
      <xdr:row>13</xdr:row>
      <xdr:rowOff>0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8F89B695-676B-45A1-9C74-CCDF4E97BCB9}"/>
            </a:ext>
          </a:extLst>
        </xdr:cNvPr>
        <xdr:cNvCxnSpPr/>
      </xdr:nvCxnSpPr>
      <xdr:spPr>
        <a:xfrm flipH="1">
          <a:off x="14756606" y="2616200"/>
          <a:ext cx="459581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4</xdr:row>
      <xdr:rowOff>0</xdr:rowOff>
    </xdr:from>
    <xdr:to>
      <xdr:col>23</xdr:col>
      <xdr:colOff>726281</xdr:colOff>
      <xdr:row>6</xdr:row>
      <xdr:rowOff>179916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AEB92CBA-ED21-4339-8E90-E73AD588FD80}"/>
            </a:ext>
          </a:extLst>
        </xdr:cNvPr>
        <xdr:cNvSpPr/>
      </xdr:nvSpPr>
      <xdr:spPr>
        <a:xfrm>
          <a:off x="15240000" y="958850"/>
          <a:ext cx="516731" cy="54821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95250</xdr:colOff>
      <xdr:row>4</xdr:row>
      <xdr:rowOff>142876</xdr:rowOff>
    </xdr:from>
    <xdr:to>
      <xdr:col>23</xdr:col>
      <xdr:colOff>690562</xdr:colOff>
      <xdr:row>6</xdr:row>
      <xdr:rowOff>58209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8A51A568-F957-489E-BAA2-9F967D5BE6BB}"/>
            </a:ext>
          </a:extLst>
        </xdr:cNvPr>
        <xdr:cNvSpPr txBox="1"/>
      </xdr:nvSpPr>
      <xdr:spPr>
        <a:xfrm>
          <a:off x="15240000" y="1101726"/>
          <a:ext cx="512762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22</xdr:col>
      <xdr:colOff>333375</xdr:colOff>
      <xdr:row>7</xdr:row>
      <xdr:rowOff>0</xdr:rowOff>
    </xdr:from>
    <xdr:to>
      <xdr:col>22</xdr:col>
      <xdr:colOff>511970</xdr:colOff>
      <xdr:row>7</xdr:row>
      <xdr:rowOff>0</xdr:rowOff>
    </xdr:to>
    <xdr:cxnSp macro="">
      <xdr:nvCxnSpPr>
        <xdr:cNvPr id="293" name="Straight Connector 292">
          <a:extLst>
            <a:ext uri="{FF2B5EF4-FFF2-40B4-BE49-F238E27FC236}">
              <a16:creationId xmlns:a16="http://schemas.microsoft.com/office/drawing/2014/main" id="{2DF7C3FF-7B37-4CAD-A879-6111583A89BC}"/>
            </a:ext>
          </a:extLst>
        </xdr:cNvPr>
        <xdr:cNvCxnSpPr/>
      </xdr:nvCxnSpPr>
      <xdr:spPr>
        <a:xfrm flipH="1">
          <a:off x="14697075" y="1511300"/>
          <a:ext cx="178595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297656</xdr:colOff>
      <xdr:row>9</xdr:row>
      <xdr:rowOff>1</xdr:rowOff>
    </xdr:from>
    <xdr:to>
      <xdr:col>24</xdr:col>
      <xdr:colOff>666750</xdr:colOff>
      <xdr:row>9</xdr:row>
      <xdr:rowOff>1</xdr:rowOff>
    </xdr:to>
    <xdr:cxnSp macro="">
      <xdr:nvCxnSpPr>
        <xdr:cNvPr id="294" name="Straight Connector 293">
          <a:extLst>
            <a:ext uri="{FF2B5EF4-FFF2-40B4-BE49-F238E27FC236}">
              <a16:creationId xmlns:a16="http://schemas.microsoft.com/office/drawing/2014/main" id="{32BB37F0-C922-4832-948F-0D2CE79AB93A}"/>
            </a:ext>
          </a:extLst>
        </xdr:cNvPr>
        <xdr:cNvCxnSpPr/>
      </xdr:nvCxnSpPr>
      <xdr:spPr>
        <a:xfrm flipH="1">
          <a:off x="16052006" y="1879601"/>
          <a:ext cx="311944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488155</xdr:colOff>
      <xdr:row>6</xdr:row>
      <xdr:rowOff>59531</xdr:rowOff>
    </xdr:from>
    <xdr:to>
      <xdr:col>25</xdr:col>
      <xdr:colOff>71436</xdr:colOff>
      <xdr:row>9</xdr:row>
      <xdr:rowOff>12699</xdr:rowOff>
    </xdr:to>
    <xdr:grpSp>
      <xdr:nvGrpSpPr>
        <xdr:cNvPr id="295" name="Group 294">
          <a:extLst>
            <a:ext uri="{FF2B5EF4-FFF2-40B4-BE49-F238E27FC236}">
              <a16:creationId xmlns:a16="http://schemas.microsoft.com/office/drawing/2014/main" id="{32F46EC6-1A11-41BF-9B0C-86CC135FA29E}"/>
            </a:ext>
          </a:extLst>
        </xdr:cNvPr>
        <xdr:cNvGrpSpPr/>
      </xdr:nvGrpSpPr>
      <xdr:grpSpPr>
        <a:xfrm>
          <a:off x="16146326" y="1391482"/>
          <a:ext cx="187305" cy="510729"/>
          <a:chOff x="1304924" y="1639958"/>
          <a:chExt cx="324542" cy="534227"/>
        </a:xfrm>
      </xdr:grpSpPr>
      <xdr:sp macro="" textlink="">
        <xdr:nvSpPr>
          <xdr:cNvPr id="296" name="Hexagon 295">
            <a:extLst>
              <a:ext uri="{FF2B5EF4-FFF2-40B4-BE49-F238E27FC236}">
                <a16:creationId xmlns:a16="http://schemas.microsoft.com/office/drawing/2014/main" id="{AA77EE50-1085-2AF6-7159-3D31F8D8A25F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97" name="Group 296">
            <a:extLst>
              <a:ext uri="{FF2B5EF4-FFF2-40B4-BE49-F238E27FC236}">
                <a16:creationId xmlns:a16="http://schemas.microsoft.com/office/drawing/2014/main" id="{F879AFC6-1BFA-00ED-A7FC-F0637CA64B9A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298" name="Straight Connector 297">
              <a:extLst>
                <a:ext uri="{FF2B5EF4-FFF2-40B4-BE49-F238E27FC236}">
                  <a16:creationId xmlns:a16="http://schemas.microsoft.com/office/drawing/2014/main" id="{0444C3BD-0D0B-AF89-14E5-6F55B5D631E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9" name="TextBox 298">
              <a:extLst>
                <a:ext uri="{FF2B5EF4-FFF2-40B4-BE49-F238E27FC236}">
                  <a16:creationId xmlns:a16="http://schemas.microsoft.com/office/drawing/2014/main" id="{31B96A92-C345-A509-FAF8-AA7B1388A73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19</a:t>
              </a:r>
            </a:p>
          </xdr:txBody>
        </xdr:sp>
      </xdr:grpSp>
    </xdr:grpSp>
    <xdr:clientData/>
  </xdr:twoCellAnchor>
  <xdr:twoCellAnchor>
    <xdr:from>
      <xdr:col>20</xdr:col>
      <xdr:colOff>595312</xdr:colOff>
      <xdr:row>12</xdr:row>
      <xdr:rowOff>11907</xdr:rowOff>
    </xdr:from>
    <xdr:to>
      <xdr:col>21</xdr:col>
      <xdr:colOff>535781</xdr:colOff>
      <xdr:row>12</xdr:row>
      <xdr:rowOff>11907</xdr:rowOff>
    </xdr:to>
    <xdr:cxnSp macro="">
      <xdr:nvCxnSpPr>
        <xdr:cNvPr id="300" name="Straight Connector 299">
          <a:extLst>
            <a:ext uri="{FF2B5EF4-FFF2-40B4-BE49-F238E27FC236}">
              <a16:creationId xmlns:a16="http://schemas.microsoft.com/office/drawing/2014/main" id="{7FBC9927-4C95-4465-8391-594386D91A1F}"/>
            </a:ext>
          </a:extLst>
        </xdr:cNvPr>
        <xdr:cNvCxnSpPr/>
      </xdr:nvCxnSpPr>
      <xdr:spPr>
        <a:xfrm flipH="1">
          <a:off x="13657262" y="2443957"/>
          <a:ext cx="55006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523875</xdr:colOff>
      <xdr:row>12</xdr:row>
      <xdr:rowOff>11906</xdr:rowOff>
    </xdr:from>
    <xdr:to>
      <xdr:col>21</xdr:col>
      <xdr:colOff>523875</xdr:colOff>
      <xdr:row>14</xdr:row>
      <xdr:rowOff>178593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5EF1B0B8-BDF3-4501-B715-A961169EE219}"/>
            </a:ext>
          </a:extLst>
        </xdr:cNvPr>
        <xdr:cNvCxnSpPr/>
      </xdr:nvCxnSpPr>
      <xdr:spPr>
        <a:xfrm>
          <a:off x="14195425" y="2443956"/>
          <a:ext cx="0" cy="534987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638651</xdr:colOff>
      <xdr:row>6</xdr:row>
      <xdr:rowOff>35719</xdr:rowOff>
    </xdr:from>
    <xdr:to>
      <xdr:col>22</xdr:col>
      <xdr:colOff>241198</xdr:colOff>
      <xdr:row>8</xdr:row>
      <xdr:rowOff>179387</xdr:rowOff>
    </xdr:to>
    <xdr:grpSp>
      <xdr:nvGrpSpPr>
        <xdr:cNvPr id="302" name="Group 301">
          <a:extLst>
            <a:ext uri="{FF2B5EF4-FFF2-40B4-BE49-F238E27FC236}">
              <a16:creationId xmlns:a16="http://schemas.microsoft.com/office/drawing/2014/main" id="{A989722B-9AA9-404E-A4BD-6EF86F3AD693}"/>
            </a:ext>
          </a:extLst>
        </xdr:cNvPr>
        <xdr:cNvGrpSpPr/>
      </xdr:nvGrpSpPr>
      <xdr:grpSpPr>
        <a:xfrm>
          <a:off x="14221456" y="1367670"/>
          <a:ext cx="299498" cy="515376"/>
          <a:chOff x="1304924" y="1639958"/>
          <a:chExt cx="324542" cy="534227"/>
        </a:xfrm>
      </xdr:grpSpPr>
      <xdr:sp macro="" textlink="">
        <xdr:nvSpPr>
          <xdr:cNvPr id="303" name="Hexagon 302">
            <a:extLst>
              <a:ext uri="{FF2B5EF4-FFF2-40B4-BE49-F238E27FC236}">
                <a16:creationId xmlns:a16="http://schemas.microsoft.com/office/drawing/2014/main" id="{C6030829-5AD8-6C1A-787A-0B09DC92890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4" name="Group 303">
            <a:extLst>
              <a:ext uri="{FF2B5EF4-FFF2-40B4-BE49-F238E27FC236}">
                <a16:creationId xmlns:a16="http://schemas.microsoft.com/office/drawing/2014/main" id="{D3B2A5EE-96D0-F971-ED9F-54AFCFD5E757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05" name="Straight Connector 304">
              <a:extLst>
                <a:ext uri="{FF2B5EF4-FFF2-40B4-BE49-F238E27FC236}">
                  <a16:creationId xmlns:a16="http://schemas.microsoft.com/office/drawing/2014/main" id="{18EEBB34-0E95-F7A0-04FD-9DD5C0ED8FB9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6" name="TextBox 305">
              <a:extLst>
                <a:ext uri="{FF2B5EF4-FFF2-40B4-BE49-F238E27FC236}">
                  <a16:creationId xmlns:a16="http://schemas.microsoft.com/office/drawing/2014/main" id="{0096C15F-F4E1-5034-84D4-980F939848FE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21</a:t>
              </a:r>
            </a:p>
          </xdr:txBody>
        </xdr:sp>
      </xdr:grpSp>
    </xdr:grpSp>
    <xdr:clientData/>
  </xdr:twoCellAnchor>
  <xdr:twoCellAnchor>
    <xdr:from>
      <xdr:col>17</xdr:col>
      <xdr:colOff>190500</xdr:colOff>
      <xdr:row>6</xdr:row>
      <xdr:rowOff>107157</xdr:rowOff>
    </xdr:from>
    <xdr:to>
      <xdr:col>17</xdr:col>
      <xdr:colOff>521409</xdr:colOff>
      <xdr:row>8</xdr:row>
      <xdr:rowOff>181644</xdr:rowOff>
    </xdr:to>
    <xdr:grpSp>
      <xdr:nvGrpSpPr>
        <xdr:cNvPr id="307" name="Group 306">
          <a:extLst>
            <a:ext uri="{FF2B5EF4-FFF2-40B4-BE49-F238E27FC236}">
              <a16:creationId xmlns:a16="http://schemas.microsoft.com/office/drawing/2014/main" id="{3A168303-5D35-400A-A011-CA440B1BCBA0}"/>
            </a:ext>
          </a:extLst>
        </xdr:cNvPr>
        <xdr:cNvGrpSpPr/>
      </xdr:nvGrpSpPr>
      <xdr:grpSpPr>
        <a:xfrm>
          <a:off x="11357207" y="1439108"/>
          <a:ext cx="330909" cy="446195"/>
          <a:chOff x="1304481" y="1639958"/>
          <a:chExt cx="334919" cy="534227"/>
        </a:xfrm>
      </xdr:grpSpPr>
      <xdr:sp macro="" textlink="">
        <xdr:nvSpPr>
          <xdr:cNvPr id="308" name="Hexagon 307">
            <a:extLst>
              <a:ext uri="{FF2B5EF4-FFF2-40B4-BE49-F238E27FC236}">
                <a16:creationId xmlns:a16="http://schemas.microsoft.com/office/drawing/2014/main" id="{AA4B1627-244E-2864-FD2D-75115A1A7E8B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09" name="Group 308">
            <a:extLst>
              <a:ext uri="{FF2B5EF4-FFF2-40B4-BE49-F238E27FC236}">
                <a16:creationId xmlns:a16="http://schemas.microsoft.com/office/drawing/2014/main" id="{F547440D-7CF6-079F-6A94-AF3EBF707F0B}"/>
              </a:ext>
            </a:extLst>
          </xdr:cNvPr>
          <xdr:cNvGrpSpPr/>
        </xdr:nvGrpSpPr>
        <xdr:grpSpPr>
          <a:xfrm>
            <a:off x="1304481" y="1639958"/>
            <a:ext cx="334919" cy="534227"/>
            <a:chOff x="1304481" y="1639958"/>
            <a:chExt cx="334919" cy="534227"/>
          </a:xfrm>
        </xdr:grpSpPr>
        <xdr:cxnSp macro="">
          <xdr:nvCxnSpPr>
            <xdr:cNvPr id="310" name="Straight Connector 309">
              <a:extLst>
                <a:ext uri="{FF2B5EF4-FFF2-40B4-BE49-F238E27FC236}">
                  <a16:creationId xmlns:a16="http://schemas.microsoft.com/office/drawing/2014/main" id="{8B877252-C237-0DD3-CFC3-7ABC0E09871D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1" name="TextBox 310">
              <a:extLst>
                <a:ext uri="{FF2B5EF4-FFF2-40B4-BE49-F238E27FC236}">
                  <a16:creationId xmlns:a16="http://schemas.microsoft.com/office/drawing/2014/main" id="{99E46F65-1AF7-D8D1-635E-76F3524EF781}"/>
                </a:ext>
              </a:extLst>
            </xdr:cNvPr>
            <xdr:cNvSpPr txBox="1"/>
          </xdr:nvSpPr>
          <xdr:spPr>
            <a:xfrm>
              <a:off x="1304481" y="1639958"/>
              <a:ext cx="334919" cy="24788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23</a:t>
              </a:r>
            </a:p>
          </xdr:txBody>
        </xdr:sp>
      </xdr:grpSp>
    </xdr:grpSp>
    <xdr:clientData/>
  </xdr:twoCellAnchor>
  <xdr:twoCellAnchor>
    <xdr:from>
      <xdr:col>21</xdr:col>
      <xdr:colOff>71437</xdr:colOff>
      <xdr:row>9</xdr:row>
      <xdr:rowOff>71437</xdr:rowOff>
    </xdr:from>
    <xdr:to>
      <xdr:col>21</xdr:col>
      <xdr:colOff>415822</xdr:colOff>
      <xdr:row>12</xdr:row>
      <xdr:rowOff>2414</xdr:rowOff>
    </xdr:to>
    <xdr:grpSp>
      <xdr:nvGrpSpPr>
        <xdr:cNvPr id="312" name="Group 311">
          <a:extLst>
            <a:ext uri="{FF2B5EF4-FFF2-40B4-BE49-F238E27FC236}">
              <a16:creationId xmlns:a16="http://schemas.microsoft.com/office/drawing/2014/main" id="{58AE74B9-C789-4E5E-914F-E8AA3CAE33E6}"/>
            </a:ext>
          </a:extLst>
        </xdr:cNvPr>
        <xdr:cNvGrpSpPr/>
      </xdr:nvGrpSpPr>
      <xdr:grpSpPr>
        <a:xfrm>
          <a:off x="13654242" y="1960949"/>
          <a:ext cx="344385" cy="488538"/>
          <a:chOff x="1295399" y="1639958"/>
          <a:chExt cx="346767" cy="534227"/>
        </a:xfrm>
      </xdr:grpSpPr>
      <xdr:sp macro="" textlink="">
        <xdr:nvSpPr>
          <xdr:cNvPr id="313" name="Hexagon 312">
            <a:extLst>
              <a:ext uri="{FF2B5EF4-FFF2-40B4-BE49-F238E27FC236}">
                <a16:creationId xmlns:a16="http://schemas.microsoft.com/office/drawing/2014/main" id="{4E0D25AC-D951-40A9-5A12-15CF26661B8C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14" name="Group 313">
            <a:extLst>
              <a:ext uri="{FF2B5EF4-FFF2-40B4-BE49-F238E27FC236}">
                <a16:creationId xmlns:a16="http://schemas.microsoft.com/office/drawing/2014/main" id="{0C3F00CA-CF04-004F-66EF-18C876D20D39}"/>
              </a:ext>
            </a:extLst>
          </xdr:cNvPr>
          <xdr:cNvGrpSpPr/>
        </xdr:nvGrpSpPr>
        <xdr:grpSpPr>
          <a:xfrm>
            <a:off x="1295399" y="1660212"/>
            <a:ext cx="346767" cy="513973"/>
            <a:chOff x="1295399" y="1660212"/>
            <a:chExt cx="346767" cy="513973"/>
          </a:xfrm>
        </xdr:grpSpPr>
        <xdr:cxnSp macro="">
          <xdr:nvCxnSpPr>
            <xdr:cNvPr id="315" name="Straight Connector 314">
              <a:extLst>
                <a:ext uri="{FF2B5EF4-FFF2-40B4-BE49-F238E27FC236}">
                  <a16:creationId xmlns:a16="http://schemas.microsoft.com/office/drawing/2014/main" id="{C0D11567-132D-E054-60C7-E85CFDA44622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6" name="TextBox 315">
              <a:extLst>
                <a:ext uri="{FF2B5EF4-FFF2-40B4-BE49-F238E27FC236}">
                  <a16:creationId xmlns:a16="http://schemas.microsoft.com/office/drawing/2014/main" id="{8B9A15E7-1295-44A5-FE7C-EC4332B2A401}"/>
                </a:ext>
              </a:extLst>
            </xdr:cNvPr>
            <xdr:cNvSpPr txBox="1"/>
          </xdr:nvSpPr>
          <xdr:spPr>
            <a:xfrm>
              <a:off x="1295399" y="1660212"/>
              <a:ext cx="346767" cy="2283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24</a:t>
              </a:r>
            </a:p>
          </xdr:txBody>
        </xdr:sp>
      </xdr:grpSp>
    </xdr:grpSp>
    <xdr:clientData/>
  </xdr:twoCellAnchor>
  <xdr:twoCellAnchor>
    <xdr:from>
      <xdr:col>20</xdr:col>
      <xdr:colOff>0</xdr:colOff>
      <xdr:row>21</xdr:row>
      <xdr:rowOff>154781</xdr:rowOff>
    </xdr:from>
    <xdr:to>
      <xdr:col>21</xdr:col>
      <xdr:colOff>0</xdr:colOff>
      <xdr:row>25</xdr:row>
      <xdr:rowOff>142873</xdr:rowOff>
    </xdr:to>
    <xdr:sp macro="" textlink="">
      <xdr:nvSpPr>
        <xdr:cNvPr id="317" name="Rectangle 316">
          <a:extLst>
            <a:ext uri="{FF2B5EF4-FFF2-40B4-BE49-F238E27FC236}">
              <a16:creationId xmlns:a16="http://schemas.microsoft.com/office/drawing/2014/main" id="{9CB10C0A-09BF-4694-861A-9F5E1CF67CE0}"/>
            </a:ext>
          </a:extLst>
        </xdr:cNvPr>
        <xdr:cNvSpPr/>
      </xdr:nvSpPr>
      <xdr:spPr>
        <a:xfrm>
          <a:off x="13061950" y="4244181"/>
          <a:ext cx="609600" cy="724692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595312</xdr:colOff>
      <xdr:row>22</xdr:row>
      <xdr:rowOff>71437</xdr:rowOff>
    </xdr:from>
    <xdr:to>
      <xdr:col>19</xdr:col>
      <xdr:colOff>619124</xdr:colOff>
      <xdr:row>22</xdr:row>
      <xdr:rowOff>71437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id="{63102EC6-102B-4803-AC8F-4960C97958EE}"/>
            </a:ext>
          </a:extLst>
        </xdr:cNvPr>
        <xdr:cNvCxnSpPr/>
      </xdr:nvCxnSpPr>
      <xdr:spPr>
        <a:xfrm flipH="1">
          <a:off x="11828462" y="4344987"/>
          <a:ext cx="123666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28</xdr:row>
      <xdr:rowOff>0</xdr:rowOff>
    </xdr:from>
    <xdr:to>
      <xdr:col>21</xdr:col>
      <xdr:colOff>0</xdr:colOff>
      <xdr:row>30</xdr:row>
      <xdr:rowOff>179916</xdr:rowOff>
    </xdr:to>
    <xdr:sp macro="" textlink="">
      <xdr:nvSpPr>
        <xdr:cNvPr id="319" name="Rectangle 318">
          <a:extLst>
            <a:ext uri="{FF2B5EF4-FFF2-40B4-BE49-F238E27FC236}">
              <a16:creationId xmlns:a16="http://schemas.microsoft.com/office/drawing/2014/main" id="{0A06DB79-4748-427C-AAB1-EC8CFF90B30B}"/>
            </a:ext>
          </a:extLst>
        </xdr:cNvPr>
        <xdr:cNvSpPr/>
      </xdr:nvSpPr>
      <xdr:spPr>
        <a:xfrm>
          <a:off x="13061950" y="5378450"/>
          <a:ext cx="609600" cy="54821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35719</xdr:colOff>
      <xdr:row>28</xdr:row>
      <xdr:rowOff>142875</xdr:rowOff>
    </xdr:from>
    <xdr:to>
      <xdr:col>21</xdr:col>
      <xdr:colOff>0</xdr:colOff>
      <xdr:row>30</xdr:row>
      <xdr:rowOff>58208</xdr:rowOff>
    </xdr:to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21B284BD-78F9-47B3-A313-5D2794DC33BE}"/>
            </a:ext>
          </a:extLst>
        </xdr:cNvPr>
        <xdr:cNvSpPr txBox="1"/>
      </xdr:nvSpPr>
      <xdr:spPr>
        <a:xfrm>
          <a:off x="13097669" y="5521325"/>
          <a:ext cx="573881" cy="283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aseline="0"/>
            <a:t>Cooler</a:t>
          </a:r>
          <a:endParaRPr lang="en-US" sz="1100"/>
        </a:p>
      </xdr:txBody>
    </xdr:sp>
    <xdr:clientData/>
  </xdr:twoCellAnchor>
  <xdr:twoCellAnchor>
    <xdr:from>
      <xdr:col>21</xdr:col>
      <xdr:colOff>381000</xdr:colOff>
      <xdr:row>26</xdr:row>
      <xdr:rowOff>59530</xdr:rowOff>
    </xdr:from>
    <xdr:to>
      <xdr:col>22</xdr:col>
      <xdr:colOff>1428</xdr:colOff>
      <xdr:row>27</xdr:row>
      <xdr:rowOff>178592</xdr:rowOff>
    </xdr:to>
    <xdr:grpSp>
      <xdr:nvGrpSpPr>
        <xdr:cNvPr id="321" name="Group 320">
          <a:extLst>
            <a:ext uri="{FF2B5EF4-FFF2-40B4-BE49-F238E27FC236}">
              <a16:creationId xmlns:a16="http://schemas.microsoft.com/office/drawing/2014/main" id="{D45BE2E1-1C16-48B7-BADF-C437196F68E9}"/>
            </a:ext>
          </a:extLst>
        </xdr:cNvPr>
        <xdr:cNvGrpSpPr/>
      </xdr:nvGrpSpPr>
      <xdr:grpSpPr>
        <a:xfrm rot="5400000">
          <a:off x="13970037" y="5102322"/>
          <a:ext cx="304916" cy="317379"/>
          <a:chOff x="6453188" y="3298031"/>
          <a:chExt cx="309562" cy="321468"/>
        </a:xfrm>
      </xdr:grpSpPr>
      <xdr:sp macro="" textlink="">
        <xdr:nvSpPr>
          <xdr:cNvPr id="322" name="Oval 321">
            <a:extLst>
              <a:ext uri="{FF2B5EF4-FFF2-40B4-BE49-F238E27FC236}">
                <a16:creationId xmlns:a16="http://schemas.microsoft.com/office/drawing/2014/main" id="{FA2F7E47-60CA-8562-6984-7E4B8C62D456}"/>
              </a:ext>
            </a:extLst>
          </xdr:cNvPr>
          <xdr:cNvSpPr/>
        </xdr:nvSpPr>
        <xdr:spPr>
          <a:xfrm>
            <a:off x="6453188" y="3298031"/>
            <a:ext cx="309562" cy="321468"/>
          </a:xfrm>
          <a:prstGeom prst="ellips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3" name="Isosceles Triangle 322">
            <a:extLst>
              <a:ext uri="{FF2B5EF4-FFF2-40B4-BE49-F238E27FC236}">
                <a16:creationId xmlns:a16="http://schemas.microsoft.com/office/drawing/2014/main" id="{09890758-AE42-100F-6DCD-A7DEF386EEF3}"/>
              </a:ext>
            </a:extLst>
          </xdr:cNvPr>
          <xdr:cNvSpPr/>
        </xdr:nvSpPr>
        <xdr:spPr>
          <a:xfrm rot="5400000">
            <a:off x="6512719" y="3345658"/>
            <a:ext cx="238125" cy="214312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20</xdr:col>
      <xdr:colOff>619125</xdr:colOff>
      <xdr:row>25</xdr:row>
      <xdr:rowOff>0</xdr:rowOff>
    </xdr:from>
    <xdr:to>
      <xdr:col>21</xdr:col>
      <xdr:colOff>547688</xdr:colOff>
      <xdr:row>25</xdr:row>
      <xdr:rowOff>0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4A2EAF90-B6D1-4580-A525-1D7D04793F31}"/>
            </a:ext>
          </a:extLst>
        </xdr:cNvPr>
        <xdr:cNvCxnSpPr/>
      </xdr:nvCxnSpPr>
      <xdr:spPr>
        <a:xfrm>
          <a:off x="13668375" y="4826000"/>
          <a:ext cx="550863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547687</xdr:colOff>
      <xdr:row>25</xdr:row>
      <xdr:rowOff>11906</xdr:rowOff>
    </xdr:from>
    <xdr:to>
      <xdr:col>21</xdr:col>
      <xdr:colOff>547687</xdr:colOff>
      <xdr:row>26</xdr:row>
      <xdr:rowOff>59531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ADBA18BC-02D2-4DD6-BB6E-A6AA3831DEB9}"/>
            </a:ext>
          </a:extLst>
        </xdr:cNvPr>
        <xdr:cNvCxnSpPr/>
      </xdr:nvCxnSpPr>
      <xdr:spPr>
        <a:xfrm>
          <a:off x="14219237" y="4837906"/>
          <a:ext cx="0" cy="231775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547688</xdr:colOff>
      <xdr:row>28</xdr:row>
      <xdr:rowOff>0</xdr:rowOff>
    </xdr:from>
    <xdr:to>
      <xdr:col>21</xdr:col>
      <xdr:colOff>547688</xdr:colOff>
      <xdr:row>29</xdr:row>
      <xdr:rowOff>119062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90C49B10-D63C-4B6C-9527-1CD3447A19BA}"/>
            </a:ext>
          </a:extLst>
        </xdr:cNvPr>
        <xdr:cNvCxnSpPr/>
      </xdr:nvCxnSpPr>
      <xdr:spPr>
        <a:xfrm>
          <a:off x="14219238" y="5378450"/>
          <a:ext cx="0" cy="303212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619124</xdr:colOff>
      <xdr:row>29</xdr:row>
      <xdr:rowOff>107156</xdr:rowOff>
    </xdr:from>
    <xdr:to>
      <xdr:col>21</xdr:col>
      <xdr:colOff>559594</xdr:colOff>
      <xdr:row>29</xdr:row>
      <xdr:rowOff>107156</xdr:rowOff>
    </xdr:to>
    <xdr:cxnSp macro="">
      <xdr:nvCxnSpPr>
        <xdr:cNvPr id="327" name="Straight Arrow Connector 326">
          <a:extLst>
            <a:ext uri="{FF2B5EF4-FFF2-40B4-BE49-F238E27FC236}">
              <a16:creationId xmlns:a16="http://schemas.microsoft.com/office/drawing/2014/main" id="{2D7FEF39-730E-4470-83A6-051B05ABD032}"/>
            </a:ext>
          </a:extLst>
        </xdr:cNvPr>
        <xdr:cNvCxnSpPr/>
      </xdr:nvCxnSpPr>
      <xdr:spPr>
        <a:xfrm flipH="1">
          <a:off x="13674724" y="5669756"/>
          <a:ext cx="55642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29</xdr:row>
      <xdr:rowOff>119063</xdr:rowOff>
    </xdr:from>
    <xdr:to>
      <xdr:col>19</xdr:col>
      <xdr:colOff>607218</xdr:colOff>
      <xdr:row>29</xdr:row>
      <xdr:rowOff>119063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FFB8B5A1-4858-49A4-877D-0E9A97C19BB0}"/>
            </a:ext>
          </a:extLst>
        </xdr:cNvPr>
        <xdr:cNvCxnSpPr/>
      </xdr:nvCxnSpPr>
      <xdr:spPr>
        <a:xfrm>
          <a:off x="12678569" y="5681663"/>
          <a:ext cx="380999" cy="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238124</xdr:colOff>
      <xdr:row>25</xdr:row>
      <xdr:rowOff>11906</xdr:rowOff>
    </xdr:from>
    <xdr:to>
      <xdr:col>19</xdr:col>
      <xdr:colOff>238124</xdr:colOff>
      <xdr:row>29</xdr:row>
      <xdr:rowOff>107155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6CFA8B5D-9EEC-497D-B58D-B4458F3B2B08}"/>
            </a:ext>
          </a:extLst>
        </xdr:cNvPr>
        <xdr:cNvCxnSpPr/>
      </xdr:nvCxnSpPr>
      <xdr:spPr>
        <a:xfrm>
          <a:off x="12690474" y="4837906"/>
          <a:ext cx="0" cy="831849"/>
        </a:xfrm>
        <a:prstGeom prst="line">
          <a:avLst/>
        </a:prstGeom>
        <a:ln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25</xdr:row>
      <xdr:rowOff>11906</xdr:rowOff>
    </xdr:from>
    <xdr:to>
      <xdr:col>19</xdr:col>
      <xdr:colOff>607219</xdr:colOff>
      <xdr:row>25</xdr:row>
      <xdr:rowOff>11906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D0749195-C4EA-4B76-88FA-478EBB69524E}"/>
            </a:ext>
          </a:extLst>
        </xdr:cNvPr>
        <xdr:cNvCxnSpPr/>
      </xdr:nvCxnSpPr>
      <xdr:spPr>
        <a:xfrm>
          <a:off x="12702381" y="4837906"/>
          <a:ext cx="357188" cy="0"/>
        </a:xfrm>
        <a:prstGeom prst="line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21</xdr:row>
      <xdr:rowOff>130969</xdr:rowOff>
    </xdr:from>
    <xdr:to>
      <xdr:col>20</xdr:col>
      <xdr:colOff>607218</xdr:colOff>
      <xdr:row>25</xdr:row>
      <xdr:rowOff>166687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F8BC63EE-A157-4CCC-9C6F-939B166C84DE}"/>
            </a:ext>
          </a:extLst>
        </xdr:cNvPr>
        <xdr:cNvSpPr txBox="1"/>
      </xdr:nvSpPr>
      <xdr:spPr>
        <a:xfrm>
          <a:off x="13061950" y="4220369"/>
          <a:ext cx="607218" cy="772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Strong/ Cold Water HX-5</a:t>
          </a:r>
        </a:p>
      </xdr:txBody>
    </xdr:sp>
    <xdr:clientData/>
  </xdr:twoCellAnchor>
  <xdr:twoCellAnchor>
    <xdr:from>
      <xdr:col>18</xdr:col>
      <xdr:colOff>464344</xdr:colOff>
      <xdr:row>19</xdr:row>
      <xdr:rowOff>107157</xdr:rowOff>
    </xdr:from>
    <xdr:to>
      <xdr:col>19</xdr:col>
      <xdr:colOff>157854</xdr:colOff>
      <xdr:row>22</xdr:row>
      <xdr:rowOff>60325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8EA46BCA-594E-4957-B39C-70B15BF9A7CD}"/>
            </a:ext>
          </a:extLst>
        </xdr:cNvPr>
        <xdr:cNvGrpSpPr/>
      </xdr:nvGrpSpPr>
      <xdr:grpSpPr>
        <a:xfrm>
          <a:off x="12235076" y="3855206"/>
          <a:ext cx="297534" cy="510729"/>
          <a:chOff x="1304924" y="1639958"/>
          <a:chExt cx="324542" cy="534227"/>
        </a:xfrm>
      </xdr:grpSpPr>
      <xdr:sp macro="" textlink="">
        <xdr:nvSpPr>
          <xdr:cNvPr id="333" name="Hexagon 332">
            <a:extLst>
              <a:ext uri="{FF2B5EF4-FFF2-40B4-BE49-F238E27FC236}">
                <a16:creationId xmlns:a16="http://schemas.microsoft.com/office/drawing/2014/main" id="{202FA156-0C86-C8E6-EFE4-D2D49C6DA313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4" name="Group 333">
            <a:extLst>
              <a:ext uri="{FF2B5EF4-FFF2-40B4-BE49-F238E27FC236}">
                <a16:creationId xmlns:a16="http://schemas.microsoft.com/office/drawing/2014/main" id="{A39038DD-BD67-F01D-621C-3B01111FFF46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35" name="Straight Connector 334">
              <a:extLst>
                <a:ext uri="{FF2B5EF4-FFF2-40B4-BE49-F238E27FC236}">
                  <a16:creationId xmlns:a16="http://schemas.microsoft.com/office/drawing/2014/main" id="{876ACF71-083A-F855-F5F2-9B8A814D9CE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6" name="TextBox 335">
              <a:extLst>
                <a:ext uri="{FF2B5EF4-FFF2-40B4-BE49-F238E27FC236}">
                  <a16:creationId xmlns:a16="http://schemas.microsoft.com/office/drawing/2014/main" id="{94F29EF9-6DC9-5CC8-4A5C-8610D9E9E693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31</a:t>
              </a:r>
            </a:p>
          </xdr:txBody>
        </xdr:sp>
      </xdr:grpSp>
    </xdr:grpSp>
    <xdr:clientData/>
  </xdr:twoCellAnchor>
  <xdr:twoCellAnchor>
    <xdr:from>
      <xdr:col>18</xdr:col>
      <xdr:colOff>345281</xdr:colOff>
      <xdr:row>24</xdr:row>
      <xdr:rowOff>130969</xdr:rowOff>
    </xdr:from>
    <xdr:to>
      <xdr:col>19</xdr:col>
      <xdr:colOff>38791</xdr:colOff>
      <xdr:row>27</xdr:row>
      <xdr:rowOff>84137</xdr:rowOff>
    </xdr:to>
    <xdr:grpSp>
      <xdr:nvGrpSpPr>
        <xdr:cNvPr id="337" name="Group 336">
          <a:extLst>
            <a:ext uri="{FF2B5EF4-FFF2-40B4-BE49-F238E27FC236}">
              <a16:creationId xmlns:a16="http://schemas.microsoft.com/office/drawing/2014/main" id="{317F29DD-9A0A-493E-B3BB-AB4E7DD4E4FB}"/>
            </a:ext>
          </a:extLst>
        </xdr:cNvPr>
        <xdr:cNvGrpSpPr/>
      </xdr:nvGrpSpPr>
      <xdr:grpSpPr>
        <a:xfrm>
          <a:off x="12116013" y="4808286"/>
          <a:ext cx="297534" cy="510729"/>
          <a:chOff x="1304924" y="1639958"/>
          <a:chExt cx="324542" cy="534227"/>
        </a:xfrm>
      </xdr:grpSpPr>
      <xdr:sp macro="" textlink="">
        <xdr:nvSpPr>
          <xdr:cNvPr id="338" name="Hexagon 337">
            <a:extLst>
              <a:ext uri="{FF2B5EF4-FFF2-40B4-BE49-F238E27FC236}">
                <a16:creationId xmlns:a16="http://schemas.microsoft.com/office/drawing/2014/main" id="{48FE135D-76F2-DD6F-B209-85490622A496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39" name="Group 338">
            <a:extLst>
              <a:ext uri="{FF2B5EF4-FFF2-40B4-BE49-F238E27FC236}">
                <a16:creationId xmlns:a16="http://schemas.microsoft.com/office/drawing/2014/main" id="{271EE6ED-B65D-577E-BF22-982031BA98B3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0" name="Straight Connector 339">
              <a:extLst>
                <a:ext uri="{FF2B5EF4-FFF2-40B4-BE49-F238E27FC236}">
                  <a16:creationId xmlns:a16="http://schemas.microsoft.com/office/drawing/2014/main" id="{540EAD6C-9CD9-BCED-181A-8BA71EB43D78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1" name="TextBox 340">
              <a:extLst>
                <a:ext uri="{FF2B5EF4-FFF2-40B4-BE49-F238E27FC236}">
                  <a16:creationId xmlns:a16="http://schemas.microsoft.com/office/drawing/2014/main" id="{4A4D9C4B-1CE5-B6AF-8A89-9348B3F31AD1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33</a:t>
              </a:r>
            </a:p>
          </xdr:txBody>
        </xdr:sp>
      </xdr:grpSp>
    </xdr:grpSp>
    <xdr:clientData/>
  </xdr:twoCellAnchor>
  <xdr:twoCellAnchor>
    <xdr:from>
      <xdr:col>18</xdr:col>
      <xdr:colOff>500063</xdr:colOff>
      <xdr:row>27</xdr:row>
      <xdr:rowOff>95251</xdr:rowOff>
    </xdr:from>
    <xdr:to>
      <xdr:col>19</xdr:col>
      <xdr:colOff>238125</xdr:colOff>
      <xdr:row>27</xdr:row>
      <xdr:rowOff>95251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E883FE4E-4BB3-432E-A86A-F0BCB8C861A7}"/>
            </a:ext>
          </a:extLst>
        </xdr:cNvPr>
        <xdr:cNvCxnSpPr/>
      </xdr:nvCxnSpPr>
      <xdr:spPr>
        <a:xfrm flipH="1">
          <a:off x="12342813" y="5289551"/>
          <a:ext cx="347662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559594</xdr:colOff>
      <xdr:row>29</xdr:row>
      <xdr:rowOff>11906</xdr:rowOff>
    </xdr:from>
    <xdr:to>
      <xdr:col>22</xdr:col>
      <xdr:colOff>119063</xdr:colOff>
      <xdr:row>29</xdr:row>
      <xdr:rowOff>11906</xdr:rowOff>
    </xdr:to>
    <xdr:cxnSp macro="">
      <xdr:nvCxnSpPr>
        <xdr:cNvPr id="343" name="Straight Connector 342">
          <a:extLst>
            <a:ext uri="{FF2B5EF4-FFF2-40B4-BE49-F238E27FC236}">
              <a16:creationId xmlns:a16="http://schemas.microsoft.com/office/drawing/2014/main" id="{54E5A604-58A3-4E47-9E20-082DE8D38F41}"/>
            </a:ext>
          </a:extLst>
        </xdr:cNvPr>
        <xdr:cNvCxnSpPr/>
      </xdr:nvCxnSpPr>
      <xdr:spPr>
        <a:xfrm flipH="1">
          <a:off x="14231144" y="5574506"/>
          <a:ext cx="25161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1429</xdr:colOff>
      <xdr:row>26</xdr:row>
      <xdr:rowOff>69056</xdr:rowOff>
    </xdr:from>
    <xdr:to>
      <xdr:col>22</xdr:col>
      <xdr:colOff>274536</xdr:colOff>
      <xdr:row>29</xdr:row>
      <xdr:rowOff>22224</xdr:rowOff>
    </xdr:to>
    <xdr:grpSp>
      <xdr:nvGrpSpPr>
        <xdr:cNvPr id="344" name="Group 343">
          <a:extLst>
            <a:ext uri="{FF2B5EF4-FFF2-40B4-BE49-F238E27FC236}">
              <a16:creationId xmlns:a16="http://schemas.microsoft.com/office/drawing/2014/main" id="{7F17856C-BC76-414A-B8DC-BAA71F68C7B8}"/>
            </a:ext>
          </a:extLst>
        </xdr:cNvPr>
        <xdr:cNvGrpSpPr/>
      </xdr:nvGrpSpPr>
      <xdr:grpSpPr>
        <a:xfrm>
          <a:off x="14281185" y="5118080"/>
          <a:ext cx="273107" cy="510729"/>
          <a:chOff x="1304924" y="1639958"/>
          <a:chExt cx="324542" cy="534227"/>
        </a:xfrm>
      </xdr:grpSpPr>
      <xdr:sp macro="" textlink="">
        <xdr:nvSpPr>
          <xdr:cNvPr id="345" name="Hexagon 344">
            <a:extLst>
              <a:ext uri="{FF2B5EF4-FFF2-40B4-BE49-F238E27FC236}">
                <a16:creationId xmlns:a16="http://schemas.microsoft.com/office/drawing/2014/main" id="{E5583F40-91EA-23C6-79DE-5D2959EFB7A7}"/>
              </a:ext>
            </a:extLst>
          </xdr:cNvPr>
          <xdr:cNvSpPr/>
        </xdr:nvSpPr>
        <xdr:spPr>
          <a:xfrm rot="5400000">
            <a:off x="1320249" y="1647550"/>
            <a:ext cx="291271" cy="276087"/>
          </a:xfrm>
          <a:prstGeom prst="hexagon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346" name="Group 345">
            <a:extLst>
              <a:ext uri="{FF2B5EF4-FFF2-40B4-BE49-F238E27FC236}">
                <a16:creationId xmlns:a16="http://schemas.microsoft.com/office/drawing/2014/main" id="{337130F1-10C6-6C17-C5A3-284FD33C9889}"/>
              </a:ext>
            </a:extLst>
          </xdr:cNvPr>
          <xdr:cNvGrpSpPr/>
        </xdr:nvGrpSpPr>
        <xdr:grpSpPr>
          <a:xfrm>
            <a:off x="1304924" y="1653461"/>
            <a:ext cx="324542" cy="520724"/>
            <a:chOff x="1304924" y="1653461"/>
            <a:chExt cx="324542" cy="520724"/>
          </a:xfrm>
        </xdr:grpSpPr>
        <xdr:cxnSp macro="">
          <xdr:nvCxnSpPr>
            <xdr:cNvPr id="347" name="Straight Connector 346">
              <a:extLst>
                <a:ext uri="{FF2B5EF4-FFF2-40B4-BE49-F238E27FC236}">
                  <a16:creationId xmlns:a16="http://schemas.microsoft.com/office/drawing/2014/main" id="{2950E71C-3841-D0E7-802F-DD768A3850C6}"/>
                </a:ext>
              </a:extLst>
            </xdr:cNvPr>
            <xdr:cNvCxnSpPr/>
          </xdr:nvCxnSpPr>
          <xdr:spPr>
            <a:xfrm flipV="1">
              <a:off x="1468507" y="1938130"/>
              <a:ext cx="0" cy="236055"/>
            </a:xfrm>
            <a:prstGeom prst="line">
              <a:avLst/>
            </a:prstGeom>
            <a:ln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8" name="TextBox 347">
              <a:extLst>
                <a:ext uri="{FF2B5EF4-FFF2-40B4-BE49-F238E27FC236}">
                  <a16:creationId xmlns:a16="http://schemas.microsoft.com/office/drawing/2014/main" id="{BC6D1D6C-7B07-EE10-A4E8-217B8C5D5A65}"/>
                </a:ext>
              </a:extLst>
            </xdr:cNvPr>
            <xdr:cNvSpPr txBox="1"/>
          </xdr:nvSpPr>
          <xdr:spPr>
            <a:xfrm>
              <a:off x="1304924" y="1653461"/>
              <a:ext cx="324542" cy="235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32</a:t>
              </a: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webley\Documents\Trevi\Datacenters\Eng\Microsoft1000m3perday05082025.xlsm" TargetMode="External"/><Relationship Id="rId1" Type="http://schemas.openxmlformats.org/officeDocument/2006/relationships/externalLinkPath" Target="file:///C:\Users\jwebley\Documents\Trevi\Datacenters\Eng\Microsoft1000m3perday0508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tem Diagram"/>
      <sheetName val="Calculations"/>
      <sheetName val="PFD_Gen3"/>
      <sheetName val="Properties Reference Tables"/>
      <sheetName val="Flow"/>
      <sheetName val="Process Flow and Mass Balance"/>
    </sheetNames>
    <sheetDataSet>
      <sheetData sheetId="0">
        <row r="6">
          <cell r="AA6">
            <v>85</v>
          </cell>
        </row>
        <row r="7">
          <cell r="N7">
            <v>25</v>
          </cell>
        </row>
        <row r="9">
          <cell r="N9">
            <v>30</v>
          </cell>
          <cell r="T9">
            <v>42.51</v>
          </cell>
        </row>
        <row r="10">
          <cell r="B10">
            <v>30</v>
          </cell>
        </row>
        <row r="12">
          <cell r="Z12">
            <v>75.400000000000006</v>
          </cell>
        </row>
        <row r="16">
          <cell r="AF16">
            <v>85</v>
          </cell>
        </row>
        <row r="17">
          <cell r="M17">
            <v>33.308146107629661</v>
          </cell>
        </row>
        <row r="18">
          <cell r="Z18">
            <v>72.599999999999994</v>
          </cell>
        </row>
        <row r="21">
          <cell r="I21">
            <v>99.548683747910388</v>
          </cell>
          <cell r="M21">
            <v>30</v>
          </cell>
        </row>
        <row r="26">
          <cell r="F26">
            <v>3.15</v>
          </cell>
          <cell r="I26">
            <v>32</v>
          </cell>
        </row>
        <row r="27">
          <cell r="F27">
            <v>25</v>
          </cell>
        </row>
        <row r="28">
          <cell r="AB28">
            <v>80</v>
          </cell>
          <cell r="AE28">
            <v>90</v>
          </cell>
        </row>
        <row r="29">
          <cell r="AE29">
            <v>4.2530000000000001</v>
          </cell>
        </row>
      </sheetData>
      <sheetData sheetId="1">
        <row r="15">
          <cell r="B15">
            <v>1</v>
          </cell>
        </row>
        <row r="17">
          <cell r="B17">
            <v>0.19999999999999982</v>
          </cell>
          <cell r="F17">
            <v>0.01</v>
          </cell>
        </row>
        <row r="18">
          <cell r="B18">
            <v>5.2631578947368467E-2</v>
          </cell>
        </row>
        <row r="19">
          <cell r="B19">
            <v>1</v>
          </cell>
        </row>
        <row r="21">
          <cell r="B21">
            <v>0</v>
          </cell>
        </row>
        <row r="22">
          <cell r="B22">
            <v>1.0526315789473684</v>
          </cell>
        </row>
        <row r="23">
          <cell r="B23">
            <v>0.745</v>
          </cell>
        </row>
        <row r="24">
          <cell r="B24">
            <v>4.296717460133177</v>
          </cell>
        </row>
        <row r="33">
          <cell r="B33">
            <v>0.60434684913677306</v>
          </cell>
        </row>
        <row r="34">
          <cell r="B34">
            <v>5.296717460133177</v>
          </cell>
        </row>
        <row r="40">
          <cell r="B40">
            <v>0.58854009138322994</v>
          </cell>
        </row>
        <row r="41">
          <cell r="B41">
            <v>1.3463490390805453</v>
          </cell>
        </row>
        <row r="44">
          <cell r="B44">
            <v>33.400703930708289</v>
          </cell>
        </row>
        <row r="56">
          <cell r="B56">
            <v>995.7</v>
          </cell>
        </row>
        <row r="58">
          <cell r="B58">
            <v>0.60036853084851272</v>
          </cell>
        </row>
        <row r="59">
          <cell r="B59">
            <v>5.3493490390805452</v>
          </cell>
        </row>
        <row r="65">
          <cell r="B65">
            <v>5.0000000000000001E-3</v>
          </cell>
        </row>
        <row r="66">
          <cell r="B66">
            <v>1.0526315789473684</v>
          </cell>
        </row>
        <row r="70">
          <cell r="B70">
            <v>1001.95</v>
          </cell>
        </row>
        <row r="75">
          <cell r="B75">
            <v>5.2631578947368363E-2</v>
          </cell>
        </row>
        <row r="76">
          <cell r="B76">
            <v>0.1000000000000001</v>
          </cell>
        </row>
        <row r="82">
          <cell r="B82">
            <v>5.2631578947368363E-2</v>
          </cell>
        </row>
        <row r="83">
          <cell r="B83">
            <v>99.548683747910403</v>
          </cell>
        </row>
        <row r="84">
          <cell r="B84">
            <v>0.1000000000000001</v>
          </cell>
        </row>
        <row r="85">
          <cell r="B85">
            <v>1032.4978687263792</v>
          </cell>
        </row>
        <row r="106">
          <cell r="B106">
            <v>33.308146107629661</v>
          </cell>
        </row>
        <row r="170">
          <cell r="D170">
            <v>1076.3982617083566</v>
          </cell>
        </row>
        <row r="184">
          <cell r="B184">
            <v>4.296717460133177</v>
          </cell>
        </row>
        <row r="189">
          <cell r="M189">
            <v>5940.5842843744404</v>
          </cell>
        </row>
        <row r="190">
          <cell r="D190">
            <v>85</v>
          </cell>
        </row>
        <row r="191">
          <cell r="D191">
            <v>38.340000000000003</v>
          </cell>
        </row>
        <row r="192">
          <cell r="D192">
            <v>1085.774592133434</v>
          </cell>
        </row>
        <row r="201">
          <cell r="B201">
            <v>4.0030000000000001</v>
          </cell>
        </row>
        <row r="208">
          <cell r="M208">
            <v>-5939.7885184148063</v>
          </cell>
        </row>
        <row r="211">
          <cell r="D211">
            <v>1076.3982617083566</v>
          </cell>
        </row>
        <row r="283">
          <cell r="B283">
            <v>1.2937174601331769</v>
          </cell>
        </row>
        <row r="291">
          <cell r="D291">
            <v>1076.3982617083566</v>
          </cell>
        </row>
        <row r="310">
          <cell r="M310">
            <v>2125.8644725443178</v>
          </cell>
        </row>
        <row r="313">
          <cell r="D313">
            <v>980.74699999999996</v>
          </cell>
        </row>
        <row r="329">
          <cell r="M329">
            <v>-2123.934617161291</v>
          </cell>
        </row>
        <row r="332">
          <cell r="D332">
            <v>1075.3172590197157</v>
          </cell>
        </row>
        <row r="380">
          <cell r="D380">
            <v>73.304717019189596</v>
          </cell>
        </row>
        <row r="401">
          <cell r="D401">
            <v>1043.6293646194083</v>
          </cell>
        </row>
        <row r="437">
          <cell r="M437">
            <v>1061.8189655311371</v>
          </cell>
        </row>
        <row r="440">
          <cell r="D440">
            <v>1085.774592133434</v>
          </cell>
        </row>
        <row r="454">
          <cell r="M454">
            <v>-1060.8610224271808</v>
          </cell>
        </row>
        <row r="457">
          <cell r="D457">
            <v>999.78250000000003</v>
          </cell>
        </row>
        <row r="522">
          <cell r="M522">
            <v>2002.7022583333335</v>
          </cell>
        </row>
        <row r="525">
          <cell r="D525">
            <v>968</v>
          </cell>
        </row>
        <row r="539">
          <cell r="M539">
            <v>-2002.3666513044759</v>
          </cell>
        </row>
        <row r="597">
          <cell r="B597">
            <v>1.0526315789473684</v>
          </cell>
        </row>
        <row r="602">
          <cell r="M602">
            <v>632.77183153119483</v>
          </cell>
        </row>
        <row r="604">
          <cell r="D604">
            <v>30</v>
          </cell>
        </row>
        <row r="605">
          <cell r="D605">
            <v>993.64819999999997</v>
          </cell>
        </row>
        <row r="614">
          <cell r="B614">
            <v>1.31</v>
          </cell>
        </row>
        <row r="619">
          <cell r="M619">
            <v>-630.89695520833334</v>
          </cell>
        </row>
        <row r="621">
          <cell r="D621">
            <v>35</v>
          </cell>
        </row>
        <row r="622">
          <cell r="D622">
            <v>995.7</v>
          </cell>
        </row>
      </sheetData>
      <sheetData sheetId="2"/>
      <sheetData sheetId="3">
        <row r="62">
          <cell r="L62">
            <v>1071.2</v>
          </cell>
        </row>
      </sheetData>
      <sheetData sheetId="4"/>
      <sheetData sheetId="5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7478-B8FE-4ECB-880C-2F8070F13566}">
  <dimension ref="A1:AS59"/>
  <sheetViews>
    <sheetView tabSelected="1" topLeftCell="A24" zoomScale="41" zoomScaleNormal="41" workbookViewId="0">
      <selection activeCell="AH58" sqref="AH58"/>
    </sheetView>
  </sheetViews>
  <sheetFormatPr defaultRowHeight="14.5" x14ac:dyDescent="0.35"/>
  <cols>
    <col min="1" max="1" width="17.6328125" customWidth="1"/>
    <col min="2" max="2" width="10.26953125" customWidth="1"/>
    <col min="4" max="4" width="11.6328125" customWidth="1"/>
    <col min="5" max="5" width="6.453125" customWidth="1"/>
    <col min="9" max="9" width="10.08984375" customWidth="1"/>
    <col min="22" max="22" width="9.90625" customWidth="1"/>
    <col min="23" max="23" width="11.1796875" customWidth="1"/>
    <col min="26" max="26" width="11.26953125" customWidth="1"/>
    <col min="30" max="30" width="10.453125" customWidth="1"/>
  </cols>
  <sheetData>
    <row r="1" spans="1:35" ht="32" x14ac:dyDescent="0.65">
      <c r="V1" s="1" t="s">
        <v>0</v>
      </c>
    </row>
    <row r="5" spans="1:35" x14ac:dyDescent="0.35">
      <c r="J5" s="2"/>
      <c r="L5" s="2"/>
      <c r="Z5" s="3"/>
    </row>
    <row r="6" spans="1:35" x14ac:dyDescent="0.35">
      <c r="J6" s="2"/>
      <c r="L6" s="2"/>
      <c r="Z6" s="3"/>
    </row>
    <row r="8" spans="1:35" x14ac:dyDescent="0.35">
      <c r="AA8" s="3"/>
    </row>
    <row r="9" spans="1:35" x14ac:dyDescent="0.35">
      <c r="L9" s="3"/>
      <c r="Z9" s="2"/>
      <c r="AD9" s="2"/>
      <c r="AI9" t="s">
        <v>1</v>
      </c>
    </row>
    <row r="10" spans="1:35" x14ac:dyDescent="0.35">
      <c r="A10" s="4" t="s">
        <v>2</v>
      </c>
      <c r="L10" s="2"/>
      <c r="Q10" s="3"/>
      <c r="Z10" s="5"/>
      <c r="AB10" s="6"/>
      <c r="AD10" s="2"/>
      <c r="AE10" s="7"/>
      <c r="AF10" s="7"/>
      <c r="AG10" s="7"/>
      <c r="AH10" s="7"/>
    </row>
    <row r="11" spans="1:35" x14ac:dyDescent="0.35">
      <c r="A11" s="4" t="s">
        <v>3</v>
      </c>
      <c r="S11" s="4"/>
      <c r="T11" s="4"/>
      <c r="V11" s="6"/>
      <c r="W11" s="7"/>
      <c r="X11" s="3"/>
      <c r="Y11" s="7"/>
      <c r="Z11" s="4"/>
      <c r="AB11" s="4"/>
      <c r="AF11" s="3"/>
    </row>
    <row r="12" spans="1:35" x14ac:dyDescent="0.35">
      <c r="J12" s="3"/>
    </row>
    <row r="13" spans="1:35" x14ac:dyDescent="0.35">
      <c r="J13" s="3"/>
    </row>
    <row r="14" spans="1:35" x14ac:dyDescent="0.35">
      <c r="J14" s="3"/>
    </row>
    <row r="15" spans="1:35" x14ac:dyDescent="0.35">
      <c r="N15" s="3"/>
      <c r="S15" s="8"/>
      <c r="T15" s="8"/>
      <c r="U15" s="8"/>
      <c r="V15" s="9"/>
      <c r="X15" s="3"/>
      <c r="Y15" s="7"/>
      <c r="Z15" s="7"/>
      <c r="AA15" s="7"/>
      <c r="AB15" s="7"/>
      <c r="AE15" s="6"/>
      <c r="AF15" s="7"/>
      <c r="AG15" s="7"/>
      <c r="AH15" s="7"/>
    </row>
    <row r="16" spans="1:35" x14ac:dyDescent="0.35">
      <c r="J16" s="10"/>
      <c r="N16" s="3"/>
    </row>
    <row r="17" spans="1:35" x14ac:dyDescent="0.35">
      <c r="L17" s="2"/>
      <c r="S17" t="s">
        <v>4</v>
      </c>
      <c r="Z17" s="2"/>
      <c r="AD17" s="2"/>
    </row>
    <row r="18" spans="1:35" x14ac:dyDescent="0.35">
      <c r="A18" s="4" t="s">
        <v>5</v>
      </c>
      <c r="J18" s="3"/>
      <c r="O18" s="11"/>
      <c r="S18" t="s">
        <v>6</v>
      </c>
    </row>
    <row r="19" spans="1:35" x14ac:dyDescent="0.35">
      <c r="L19" s="2"/>
      <c r="S19" s="11"/>
      <c r="T19" s="11"/>
      <c r="Z19" s="2"/>
      <c r="AD19" s="2"/>
    </row>
    <row r="20" spans="1:35" x14ac:dyDescent="0.35">
      <c r="M20" s="10"/>
      <c r="V20" s="3"/>
      <c r="X20" s="3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5" x14ac:dyDescent="0.35">
      <c r="M21" s="10"/>
      <c r="V21" s="3"/>
      <c r="X21" s="3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5" x14ac:dyDescent="0.35">
      <c r="M22" s="10"/>
      <c r="V22" s="3"/>
      <c r="X22" s="3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5" x14ac:dyDescent="0.35">
      <c r="M23" s="6"/>
      <c r="AE23" s="6"/>
      <c r="AF23" s="7"/>
    </row>
    <row r="24" spans="1:35" x14ac:dyDescent="0.35">
      <c r="M24" s="6"/>
      <c r="AE24" s="6"/>
      <c r="AF24" s="7"/>
      <c r="AI24" t="s">
        <v>7</v>
      </c>
    </row>
    <row r="25" spans="1:35" x14ac:dyDescent="0.35">
      <c r="P25" t="s">
        <v>8</v>
      </c>
      <c r="S25" s="12"/>
      <c r="T25" s="12"/>
      <c r="W25" s="13"/>
      <c r="AB25" s="3"/>
    </row>
    <row r="26" spans="1:35" x14ac:dyDescent="0.35">
      <c r="A26" s="4" t="s">
        <v>8</v>
      </c>
      <c r="J26" s="3"/>
      <c r="O26" s="14"/>
      <c r="P26" s="7"/>
      <c r="S26" s="3"/>
      <c r="T26" s="3"/>
      <c r="X26" s="3"/>
      <c r="Y26" s="7"/>
      <c r="Z26" s="4"/>
      <c r="AA26" s="4"/>
      <c r="AB26" s="4"/>
    </row>
    <row r="27" spans="1:35" x14ac:dyDescent="0.35">
      <c r="L27" s="2"/>
      <c r="V27" s="3"/>
      <c r="Z27" s="2"/>
      <c r="AB27" s="4"/>
      <c r="AD27" s="2"/>
      <c r="AF27" s="6"/>
    </row>
    <row r="28" spans="1:35" x14ac:dyDescent="0.35">
      <c r="L28" s="2"/>
      <c r="Z28" s="2"/>
      <c r="AA28" s="6"/>
      <c r="AD28" s="2"/>
    </row>
    <row r="29" spans="1:35" x14ac:dyDescent="0.35">
      <c r="L29" s="2"/>
      <c r="Q29" s="15"/>
      <c r="R29" s="15"/>
      <c r="AC29" s="12"/>
    </row>
    <row r="30" spans="1:35" x14ac:dyDescent="0.35">
      <c r="J30" s="2"/>
      <c r="L30" s="2"/>
      <c r="Z30" s="4"/>
    </row>
    <row r="31" spans="1:35" x14ac:dyDescent="0.35">
      <c r="O31" s="3"/>
      <c r="Z31" s="4"/>
    </row>
    <row r="32" spans="1:35" x14ac:dyDescent="0.35">
      <c r="Z32" s="4"/>
    </row>
    <row r="33" spans="1:45" x14ac:dyDescent="0.35">
      <c r="J33" s="10"/>
      <c r="L33" s="2"/>
      <c r="Z33" s="16"/>
      <c r="AC33" s="7"/>
      <c r="AD33" s="7"/>
      <c r="AE33" s="6"/>
      <c r="AF33" s="7"/>
    </row>
    <row r="34" spans="1:45" x14ac:dyDescent="0.35">
      <c r="L34" s="2"/>
      <c r="Z34" s="4"/>
    </row>
    <row r="35" spans="1:45" x14ac:dyDescent="0.35">
      <c r="L35" s="2"/>
      <c r="Z35" s="4"/>
      <c r="AE35" s="10"/>
    </row>
    <row r="36" spans="1:45" x14ac:dyDescent="0.35">
      <c r="AE36" s="11"/>
    </row>
    <row r="37" spans="1:45" x14ac:dyDescent="0.35">
      <c r="AE37" s="2"/>
    </row>
    <row r="38" spans="1:45" x14ac:dyDescent="0.35">
      <c r="A38" s="17" t="s">
        <v>9</v>
      </c>
      <c r="B38" s="18" t="s">
        <v>10</v>
      </c>
      <c r="C38" s="18"/>
      <c r="D38" s="18"/>
      <c r="E38" s="18"/>
      <c r="F38" s="18"/>
      <c r="G38" s="18"/>
      <c r="H38" s="18"/>
      <c r="I38" s="18"/>
      <c r="J38" s="19"/>
      <c r="P38" s="19"/>
      <c r="AE38" s="11"/>
    </row>
    <row r="39" spans="1:45" ht="15" thickBot="1" x14ac:dyDescent="0.4"/>
    <row r="40" spans="1:45" ht="102" thickBot="1" x14ac:dyDescent="0.4">
      <c r="A40" s="20" t="s">
        <v>11</v>
      </c>
      <c r="B40" s="21" t="s">
        <v>5</v>
      </c>
      <c r="C40" s="21" t="s">
        <v>12</v>
      </c>
      <c r="D40" s="21" t="s">
        <v>13</v>
      </c>
      <c r="E40" s="21" t="s">
        <v>14</v>
      </c>
      <c r="F40" s="21" t="s">
        <v>15</v>
      </c>
      <c r="G40" s="21" t="s">
        <v>16</v>
      </c>
      <c r="H40" s="21" t="s">
        <v>17</v>
      </c>
      <c r="I40" s="21" t="s">
        <v>18</v>
      </c>
      <c r="J40" s="21" t="s">
        <v>19</v>
      </c>
      <c r="K40" s="21" t="s">
        <v>20</v>
      </c>
      <c r="L40" s="21" t="s">
        <v>21</v>
      </c>
      <c r="M40" s="21" t="s">
        <v>22</v>
      </c>
      <c r="N40" s="21" t="s">
        <v>23</v>
      </c>
      <c r="O40" s="21" t="s">
        <v>24</v>
      </c>
      <c r="P40" s="21" t="s">
        <v>25</v>
      </c>
      <c r="Q40" s="21" t="s">
        <v>26</v>
      </c>
      <c r="R40" s="21" t="s">
        <v>27</v>
      </c>
      <c r="S40" s="21" t="s">
        <v>28</v>
      </c>
      <c r="T40" s="21" t="s">
        <v>29</v>
      </c>
      <c r="U40" s="21" t="s">
        <v>30</v>
      </c>
      <c r="V40" s="21" t="s">
        <v>31</v>
      </c>
      <c r="W40" s="21" t="s">
        <v>32</v>
      </c>
      <c r="X40" s="21" t="s">
        <v>33</v>
      </c>
      <c r="Y40" s="21" t="s">
        <v>34</v>
      </c>
      <c r="Z40" s="21" t="s">
        <v>35</v>
      </c>
      <c r="AA40" s="21" t="s">
        <v>36</v>
      </c>
      <c r="AB40" s="21" t="s">
        <v>37</v>
      </c>
      <c r="AC40" s="21" t="s">
        <v>38</v>
      </c>
      <c r="AD40" s="21" t="s">
        <v>39</v>
      </c>
      <c r="AE40" s="21" t="s">
        <v>40</v>
      </c>
      <c r="AF40" s="21" t="s">
        <v>41</v>
      </c>
      <c r="AG40" s="21" t="s">
        <v>42</v>
      </c>
      <c r="AH40" s="21" t="s">
        <v>43</v>
      </c>
      <c r="AI40" s="21"/>
      <c r="AJ40" s="21" t="s">
        <v>44</v>
      </c>
      <c r="AK40" s="21" t="s">
        <v>45</v>
      </c>
      <c r="AL40" s="21" t="s">
        <v>46</v>
      </c>
      <c r="AM40" s="21" t="s">
        <v>47</v>
      </c>
      <c r="AN40" s="21" t="s">
        <v>48</v>
      </c>
      <c r="AO40" s="21" t="s">
        <v>49</v>
      </c>
      <c r="AP40" s="21" t="s">
        <v>50</v>
      </c>
      <c r="AQ40" s="21" t="s">
        <v>51</v>
      </c>
      <c r="AR40" s="21" t="s">
        <v>52</v>
      </c>
      <c r="AS40" s="22"/>
    </row>
    <row r="41" spans="1:45" ht="15" thickBot="1" x14ac:dyDescent="0.4">
      <c r="A41" s="23" t="s">
        <v>53</v>
      </c>
      <c r="B41" s="24">
        <v>1</v>
      </c>
      <c r="C41" s="24">
        <v>2</v>
      </c>
      <c r="D41" s="24">
        <v>3</v>
      </c>
      <c r="E41" s="24">
        <v>4</v>
      </c>
      <c r="F41" s="24">
        <v>5</v>
      </c>
      <c r="G41" s="24">
        <v>6</v>
      </c>
      <c r="H41" s="24">
        <v>7</v>
      </c>
      <c r="I41" s="24">
        <v>8</v>
      </c>
      <c r="J41" s="24">
        <v>9</v>
      </c>
      <c r="K41" s="24">
        <v>10</v>
      </c>
      <c r="L41" s="24">
        <v>11</v>
      </c>
      <c r="M41" s="24">
        <v>12</v>
      </c>
      <c r="N41" s="24">
        <v>13</v>
      </c>
      <c r="O41" s="24">
        <v>14</v>
      </c>
      <c r="P41" s="24">
        <v>15</v>
      </c>
      <c r="Q41" s="24">
        <v>16</v>
      </c>
      <c r="R41" s="24">
        <v>17</v>
      </c>
      <c r="S41" s="24">
        <v>18</v>
      </c>
      <c r="T41" s="24">
        <v>19</v>
      </c>
      <c r="U41" s="24">
        <v>20</v>
      </c>
      <c r="V41" s="25">
        <v>21</v>
      </c>
      <c r="W41" s="26">
        <v>22</v>
      </c>
      <c r="X41" s="27">
        <v>23</v>
      </c>
      <c r="Y41" s="24">
        <v>24</v>
      </c>
      <c r="Z41" s="24">
        <v>25</v>
      </c>
      <c r="AA41" s="24">
        <v>26</v>
      </c>
      <c r="AB41" s="24">
        <v>27</v>
      </c>
      <c r="AC41" s="24">
        <v>28</v>
      </c>
      <c r="AD41" s="24">
        <v>29</v>
      </c>
      <c r="AE41" s="24">
        <v>30</v>
      </c>
      <c r="AF41" s="24">
        <v>31</v>
      </c>
      <c r="AG41" s="24">
        <v>32</v>
      </c>
      <c r="AH41" s="24">
        <v>33</v>
      </c>
      <c r="AI41" s="24"/>
      <c r="AJ41" s="24"/>
      <c r="AK41" s="24">
        <v>34</v>
      </c>
      <c r="AL41" s="24">
        <v>35</v>
      </c>
      <c r="AM41" s="25">
        <v>36</v>
      </c>
      <c r="AN41" s="26">
        <v>37</v>
      </c>
      <c r="AO41" s="27">
        <v>38</v>
      </c>
      <c r="AP41" s="27">
        <v>39</v>
      </c>
      <c r="AQ41" s="27">
        <v>40</v>
      </c>
      <c r="AR41" s="27">
        <v>41</v>
      </c>
      <c r="AS41" s="18"/>
    </row>
    <row r="42" spans="1:45" x14ac:dyDescent="0.35">
      <c r="A42" s="28" t="s">
        <v>54</v>
      </c>
      <c r="B42" s="29" t="s">
        <v>55</v>
      </c>
      <c r="C42" s="30" t="str">
        <f t="shared" ref="C42:D44" si="0">B42</f>
        <v>6 - 33</v>
      </c>
      <c r="D42" s="30" t="str">
        <f t="shared" si="0"/>
        <v>6 - 33</v>
      </c>
      <c r="E42" s="31">
        <f>'[1]System Diagram'!M17</f>
        <v>33.308146107629661</v>
      </c>
      <c r="F42" s="31">
        <f>E42</f>
        <v>33.308146107629661</v>
      </c>
      <c r="G42" s="32">
        <f>[1]Calculations!B106</f>
        <v>33.308146107629661</v>
      </c>
      <c r="H42" s="32">
        <f>[1]Calculations!B44</f>
        <v>33.400703930708289</v>
      </c>
      <c r="I42" s="32">
        <f>'[1]System Diagram'!M17</f>
        <v>33.308146107629661</v>
      </c>
      <c r="J42" s="32">
        <f>'[1]System Diagram'!Z12</f>
        <v>75.400000000000006</v>
      </c>
      <c r="K42" s="32">
        <f>'[1]System Diagram'!Z18</f>
        <v>72.599999999999994</v>
      </c>
      <c r="L42" s="32">
        <f>[1]Calculations!D380</f>
        <v>73.304717019189596</v>
      </c>
      <c r="M42" s="32">
        <f>'[1]System Diagram'!AF16</f>
        <v>85</v>
      </c>
      <c r="N42" s="32">
        <f>'[1]System Diagram'!AB28</f>
        <v>80</v>
      </c>
      <c r="O42" s="32">
        <f>'[1]System Diagram'!AE28</f>
        <v>90</v>
      </c>
      <c r="P42" s="32">
        <f>[1]Calculations!D190</f>
        <v>85</v>
      </c>
      <c r="Q42" s="32">
        <f>[1]Calculations!D191</f>
        <v>38.340000000000003</v>
      </c>
      <c r="R42" s="32">
        <f>'[1]System Diagram'!AA6</f>
        <v>85</v>
      </c>
      <c r="S42" s="32">
        <f>'[1]System Diagram'!T9</f>
        <v>42.51</v>
      </c>
      <c r="T42" s="32">
        <f>'[1]System Diagram'!N7</f>
        <v>25</v>
      </c>
      <c r="U42" s="32">
        <f>[1]Calculations!D621</f>
        <v>35</v>
      </c>
      <c r="V42" s="32">
        <f>[1]Calculations!D604</f>
        <v>30</v>
      </c>
      <c r="W42" s="32">
        <f>V42</f>
        <v>30</v>
      </c>
      <c r="X42" s="32">
        <f>'[1]System Diagram'!N9</f>
        <v>30</v>
      </c>
      <c r="Y42" s="32">
        <f>'[1]System Diagram'!N9</f>
        <v>30</v>
      </c>
      <c r="Z42" s="32">
        <f>'[1]System Diagram'!N9</f>
        <v>30</v>
      </c>
      <c r="AA42" s="32">
        <f>'[1]System Diagram'!N9</f>
        <v>30</v>
      </c>
      <c r="AB42" s="32">
        <f>'[1]System Diagram'!N9</f>
        <v>30</v>
      </c>
      <c r="AC42" s="32">
        <f>'[1]System Diagram'!B10</f>
        <v>30</v>
      </c>
      <c r="AD42" s="32">
        <f>'[1]System Diagram'!I21</f>
        <v>99.548683747910388</v>
      </c>
      <c r="AE42" s="32">
        <f>[1]Calculations!B83</f>
        <v>99.548683747910403</v>
      </c>
      <c r="AF42" s="33">
        <f>'[1]System Diagram'!M21</f>
        <v>30</v>
      </c>
      <c r="AG42" s="34">
        <f>'[1]System Diagram'!I26</f>
        <v>32</v>
      </c>
      <c r="AH42" s="35">
        <f>'[1]System Diagram'!F27</f>
        <v>25</v>
      </c>
      <c r="AI42" s="32"/>
      <c r="AJ42" s="34"/>
      <c r="AK42" s="35">
        <v>25</v>
      </c>
      <c r="AL42" s="32">
        <v>25</v>
      </c>
      <c r="AM42" s="32">
        <v>25</v>
      </c>
      <c r="AN42" s="32">
        <v>25</v>
      </c>
      <c r="AO42" s="32">
        <v>25</v>
      </c>
      <c r="AP42" s="32">
        <v>25</v>
      </c>
      <c r="AQ42" s="32">
        <v>25</v>
      </c>
      <c r="AR42" s="32">
        <v>25</v>
      </c>
      <c r="AS42" s="11"/>
    </row>
    <row r="43" spans="1:45" ht="16.5" x14ac:dyDescent="0.35">
      <c r="A43" s="28" t="s">
        <v>56</v>
      </c>
      <c r="B43" s="36">
        <f>[1]Calculations!B66*Capacity</f>
        <v>43.859649122807014</v>
      </c>
      <c r="C43" s="37">
        <f t="shared" si="0"/>
        <v>43.859649122807014</v>
      </c>
      <c r="D43" s="37">
        <f t="shared" si="0"/>
        <v>43.859649122807014</v>
      </c>
      <c r="E43" s="37">
        <f>[1]Calculations!B34*Capacity</f>
        <v>220.69656083888236</v>
      </c>
      <c r="F43" s="37">
        <f>E43</f>
        <v>220.69656083888236</v>
      </c>
      <c r="G43" s="37">
        <f>[1]Calculations!B283*Capacity</f>
        <v>53.904894172215698</v>
      </c>
      <c r="H43" s="37">
        <f>[1]Calculations!B41*Capacity</f>
        <v>56.097876628356047</v>
      </c>
      <c r="I43" s="37">
        <f>[1]Calculations!B201*Capacity</f>
        <v>166.79166666666666</v>
      </c>
      <c r="J43" s="37">
        <f>H43</f>
        <v>56.097876628356047</v>
      </c>
      <c r="K43" s="37">
        <f>I43</f>
        <v>166.79166666666666</v>
      </c>
      <c r="L43" s="37">
        <f>[1]Calculations!B59*Capacity</f>
        <v>222.88954329502269</v>
      </c>
      <c r="M43" s="37">
        <f>[1]Calculations!B59*Capacity</f>
        <v>222.88954329502269</v>
      </c>
      <c r="N43" s="37">
        <f>'[1]System Diagram'!AE29*Capacity</f>
        <v>177.20833333333331</v>
      </c>
      <c r="O43" s="37">
        <f>'[1]System Diagram'!AE29*Capacity</f>
        <v>177.20833333333331</v>
      </c>
      <c r="P43" s="37">
        <f>[1]Calculations!B184*Capacity</f>
        <v>179.02989417221571</v>
      </c>
      <c r="Q43" s="37">
        <f>P43</f>
        <v>179.02989417221571</v>
      </c>
      <c r="R43" s="37">
        <f>[1]Calculations!B22*Capacity</f>
        <v>43.859649122807014</v>
      </c>
      <c r="S43" s="37">
        <f>[1]Calculations!B22*Capacity</f>
        <v>43.859649122807014</v>
      </c>
      <c r="T43" s="37">
        <f>[1]Calculations!B614*Capacity</f>
        <v>54.583333333333336</v>
      </c>
      <c r="U43" s="37">
        <f>[1]Calculations!B614*Capacity</f>
        <v>54.583333333333336</v>
      </c>
      <c r="V43" s="37">
        <f>[1]Calculations!B597*Capacity</f>
        <v>43.859649122807014</v>
      </c>
      <c r="W43" s="37">
        <f>V43</f>
        <v>43.859649122807014</v>
      </c>
      <c r="X43" s="37">
        <f>[1]Calculations!B19*Capacity</f>
        <v>41.666666666666664</v>
      </c>
      <c r="Y43" s="38">
        <f>[1]Calculations!B18*Capacity</f>
        <v>2.1929824561403528</v>
      </c>
      <c r="Z43" s="37">
        <f>[1]Calculations!B19*Capacity</f>
        <v>41.666666666666664</v>
      </c>
      <c r="AA43" s="37">
        <f>[1]Calculations!B15*Capacity</f>
        <v>41.666666666666664</v>
      </c>
      <c r="AB43" s="37">
        <f>[1]Calculations!B21*Capacity</f>
        <v>0</v>
      </c>
      <c r="AC43" s="37">
        <f>[1]Calculations!B15*Capacity</f>
        <v>41.666666666666664</v>
      </c>
      <c r="AD43" s="37">
        <f>[1]Calculations!B75*Capacity</f>
        <v>2.1929824561403484</v>
      </c>
      <c r="AE43" s="37">
        <f>[1]Calculations!B82*Capacity</f>
        <v>2.1929824561403484</v>
      </c>
      <c r="AF43" s="39">
        <f>[1]Calculations!B24*Capacity</f>
        <v>179.02989417221571</v>
      </c>
      <c r="AG43" s="40">
        <f>AG44/[1]Calculations!D457</f>
        <v>131.25</v>
      </c>
      <c r="AH43" s="41">
        <f>'[1]System Diagram'!F26*Capacity</f>
        <v>131.25</v>
      </c>
      <c r="AI43" s="37"/>
      <c r="AJ43" s="42" t="s">
        <v>57</v>
      </c>
      <c r="AK43" s="43">
        <f>0.16693*1000*Capacity/(1000/24)</f>
        <v>166.93</v>
      </c>
      <c r="AL43" s="37">
        <f>0.06921*1000*Capacity/(1000/24)</f>
        <v>69.209999999999994</v>
      </c>
      <c r="AM43" s="37">
        <f>0.78515*1000*Capacity/(1000/24)</f>
        <v>785.15</v>
      </c>
      <c r="AN43" s="37">
        <f>0.30878*1000*Capacity/(1000/24)</f>
        <v>308.77999999999997</v>
      </c>
      <c r="AO43" s="37">
        <f>0.05417*1000*Capacity/(1000/24)</f>
        <v>54.170000000000009</v>
      </c>
      <c r="AP43" s="37">
        <f>0.04837*1000*Capacity/(1000/24)</f>
        <v>48.370000000000005</v>
      </c>
      <c r="AQ43" s="37">
        <f>0.01038*1000*Capacity/(1000/24)</f>
        <v>10.38</v>
      </c>
      <c r="AR43" s="37">
        <f>0.00964*1000*Capacity/(1000/24)</f>
        <v>9.6399999999999988</v>
      </c>
      <c r="AS43" s="10"/>
    </row>
    <row r="44" spans="1:45" x14ac:dyDescent="0.35">
      <c r="A44" s="44" t="s">
        <v>58</v>
      </c>
      <c r="B44" s="45">
        <f>B43*[1]Calculations!B70</f>
        <v>43945.175438596489</v>
      </c>
      <c r="C44" s="46">
        <f t="shared" si="0"/>
        <v>43945.175438596489</v>
      </c>
      <c r="D44" s="46">
        <f t="shared" si="0"/>
        <v>43945.175438596489</v>
      </c>
      <c r="E44" s="46">
        <f>E43*[1]Calculations!D170</f>
        <v>237557.39445198554</v>
      </c>
      <c r="F44" s="46">
        <f>E44</f>
        <v>237557.39445198554</v>
      </c>
      <c r="G44" s="47">
        <f>G43*[1]Calculations!D291</f>
        <v>58023.134384545898</v>
      </c>
      <c r="H44" s="47">
        <f>H43*[1]Calculations!D332</f>
        <v>60323.014932829996</v>
      </c>
      <c r="I44" s="47">
        <f>I43*[1]Calculations!D211</f>
        <v>179534.26006743964</v>
      </c>
      <c r="J44" s="47">
        <f>H44</f>
        <v>60323.014932829996</v>
      </c>
      <c r="K44" s="47">
        <f>I44</f>
        <v>179534.26006743964</v>
      </c>
      <c r="L44" s="47">
        <f>J44+K44</f>
        <v>239857.27500026964</v>
      </c>
      <c r="M44" s="47">
        <f>L44</f>
        <v>239857.27500026964</v>
      </c>
      <c r="N44" s="47">
        <f>N43*[1]Calculations!D525</f>
        <v>171537.66666666666</v>
      </c>
      <c r="O44" s="47">
        <f>N44</f>
        <v>171537.66666666666</v>
      </c>
      <c r="P44" s="47">
        <f>P43*[1]Calculations!D192</f>
        <v>194386.11032452935</v>
      </c>
      <c r="Q44" s="47">
        <f>P44</f>
        <v>194386.11032452935</v>
      </c>
      <c r="R44" s="47">
        <f>R43*[1]Calculations!D313</f>
        <v>43015.219298245611</v>
      </c>
      <c r="S44" s="47">
        <f>S43*[1]Calculations!D313</f>
        <v>43015.219298245611</v>
      </c>
      <c r="T44" s="47">
        <f>T43*[1]Calculations!D622</f>
        <v>54348.625000000007</v>
      </c>
      <c r="U44" s="47">
        <f>U43*[1]Calculations!D622</f>
        <v>54348.625000000007</v>
      </c>
      <c r="V44" s="47">
        <f>S44</f>
        <v>43015.219298245611</v>
      </c>
      <c r="W44" s="47">
        <f>V44</f>
        <v>43015.219298245611</v>
      </c>
      <c r="X44" s="47">
        <f>X43*[1]Calculations!D605</f>
        <v>41402.008333333331</v>
      </c>
      <c r="Y44" s="47">
        <f>W44-X44</f>
        <v>1613.2109649122795</v>
      </c>
      <c r="Z44" s="47">
        <f>Z43*[1]Calculations!D605</f>
        <v>41402.008333333331</v>
      </c>
      <c r="AA44" s="47">
        <f>AA43*[1]Calculations!B56</f>
        <v>41487.5</v>
      </c>
      <c r="AB44" s="47">
        <f>Z44-AA44</f>
        <v>-85.491666666668607</v>
      </c>
      <c r="AC44" s="47">
        <f>AC43*[1]Calculations!B56</f>
        <v>41487.5</v>
      </c>
      <c r="AD44" s="47">
        <f>AD43*[1]Calculations!D401</f>
        <v>2288.6608873232612</v>
      </c>
      <c r="AE44" s="47">
        <f>AE43*[1]Calculations!B85</f>
        <v>2264.24971211925</v>
      </c>
      <c r="AF44" s="48">
        <f>AF43*[1]Calculations!D440</f>
        <v>194386.11032452935</v>
      </c>
      <c r="AG44" s="49">
        <f>AH44</f>
        <v>131221.453125</v>
      </c>
      <c r="AH44" s="50">
        <f>AH43*[1]Calculations!D457</f>
        <v>131221.453125</v>
      </c>
      <c r="AI44" s="51"/>
      <c r="AJ44" s="42" t="s">
        <v>59</v>
      </c>
      <c r="AK44" s="52">
        <f>0.19841*1000*Capacity/(1000/24)</f>
        <v>198.40999999999997</v>
      </c>
      <c r="AL44" s="51">
        <f>0.06944*1000*Capacity/(1000/24)</f>
        <v>69.44</v>
      </c>
      <c r="AM44" s="51">
        <f>0.81019*1000*Capacity/(1000/24)</f>
        <v>810.18999999999994</v>
      </c>
      <c r="AN44" s="51">
        <f>0.31667*1000*Capacity/(1000/24)</f>
        <v>316.67</v>
      </c>
      <c r="AO44" s="51">
        <f>0.05556*1000*Capacity/(1000/24)</f>
        <v>55.559999999999995</v>
      </c>
      <c r="AP44" s="51">
        <f>0.10399*1000*Capacity/(1000/24)</f>
        <v>103.99</v>
      </c>
      <c r="AQ44" s="51">
        <f>0.01042*1000*Capacity/(1000/24)</f>
        <v>10.42</v>
      </c>
      <c r="AR44" s="51">
        <f>0.01155*1000*Capacity/(1000/24)</f>
        <v>11.549999999999999</v>
      </c>
      <c r="AS44" s="10"/>
    </row>
    <row r="45" spans="1:45" x14ac:dyDescent="0.35">
      <c r="A45" s="28" t="s">
        <v>60</v>
      </c>
      <c r="B45" s="53">
        <v>30</v>
      </c>
      <c r="C45" s="54">
        <v>27</v>
      </c>
      <c r="D45" s="54">
        <f>C45</f>
        <v>27</v>
      </c>
      <c r="E45" s="54">
        <v>5</v>
      </c>
      <c r="F45" s="54">
        <v>23</v>
      </c>
      <c r="G45" s="55">
        <f>F45</f>
        <v>23</v>
      </c>
      <c r="H45" s="55">
        <f>G45</f>
        <v>23</v>
      </c>
      <c r="I45" s="55">
        <f>F45</f>
        <v>23</v>
      </c>
      <c r="J45" s="55">
        <v>19</v>
      </c>
      <c r="K45" s="55">
        <v>19</v>
      </c>
      <c r="L45" s="55">
        <v>19</v>
      </c>
      <c r="M45" s="55">
        <v>15</v>
      </c>
      <c r="N45" s="55">
        <v>3</v>
      </c>
      <c r="O45" s="55">
        <v>5</v>
      </c>
      <c r="P45" s="55">
        <v>15</v>
      </c>
      <c r="Q45" s="55">
        <v>10</v>
      </c>
      <c r="R45" s="55">
        <v>15</v>
      </c>
      <c r="S45" s="55">
        <v>13</v>
      </c>
      <c r="T45" s="55">
        <v>5</v>
      </c>
      <c r="U45" s="55">
        <v>3</v>
      </c>
      <c r="V45" s="55">
        <v>11</v>
      </c>
      <c r="W45" s="55">
        <v>110</v>
      </c>
      <c r="X45" s="55">
        <v>5</v>
      </c>
      <c r="Y45" s="55">
        <v>23</v>
      </c>
      <c r="Z45" s="55">
        <v>105</v>
      </c>
      <c r="AA45" s="55">
        <v>10</v>
      </c>
      <c r="AB45" s="55">
        <v>10</v>
      </c>
      <c r="AC45" s="55">
        <v>5</v>
      </c>
      <c r="AD45" s="55">
        <v>10</v>
      </c>
      <c r="AE45" s="55">
        <v>10</v>
      </c>
      <c r="AF45" s="56">
        <v>6</v>
      </c>
      <c r="AG45" s="44">
        <v>3</v>
      </c>
      <c r="AH45" s="57">
        <v>5</v>
      </c>
      <c r="AI45" s="55"/>
      <c r="AJ45" s="44"/>
      <c r="AK45" s="57">
        <v>27</v>
      </c>
      <c r="AL45" s="55">
        <v>27</v>
      </c>
      <c r="AM45" s="55">
        <v>27</v>
      </c>
      <c r="AN45" s="55">
        <v>5</v>
      </c>
      <c r="AO45" s="55">
        <v>5</v>
      </c>
      <c r="AP45" s="55">
        <v>5</v>
      </c>
      <c r="AQ45" s="55">
        <v>5</v>
      </c>
      <c r="AR45" s="55">
        <v>27</v>
      </c>
    </row>
    <row r="46" spans="1:45" x14ac:dyDescent="0.35">
      <c r="A46" s="58" t="s">
        <v>61</v>
      </c>
      <c r="B46" s="59">
        <f>B45/14.50377</f>
        <v>2.0684277260326107</v>
      </c>
      <c r="C46" s="60">
        <f t="shared" ref="C46:AH46" si="1">C45/14.50377</f>
        <v>1.8615849534293498</v>
      </c>
      <c r="D46" s="60">
        <f t="shared" si="1"/>
        <v>1.8615849534293498</v>
      </c>
      <c r="E46" s="60">
        <f t="shared" si="1"/>
        <v>0.34473795433876847</v>
      </c>
      <c r="F46" s="60">
        <f t="shared" si="1"/>
        <v>1.585794589958335</v>
      </c>
      <c r="G46" s="60">
        <f t="shared" si="1"/>
        <v>1.585794589958335</v>
      </c>
      <c r="H46" s="60">
        <f t="shared" si="1"/>
        <v>1.585794589958335</v>
      </c>
      <c r="I46" s="60">
        <f t="shared" si="1"/>
        <v>1.585794589958335</v>
      </c>
      <c r="J46" s="60">
        <f t="shared" si="1"/>
        <v>1.3100042264873202</v>
      </c>
      <c r="K46" s="60">
        <f t="shared" si="1"/>
        <v>1.3100042264873202</v>
      </c>
      <c r="L46" s="60">
        <f t="shared" si="1"/>
        <v>1.3100042264873202</v>
      </c>
      <c r="M46" s="60">
        <f t="shared" si="1"/>
        <v>1.0342138630163054</v>
      </c>
      <c r="N46" s="60">
        <f t="shared" si="1"/>
        <v>0.20684277260326109</v>
      </c>
      <c r="O46" s="60">
        <f t="shared" si="1"/>
        <v>0.34473795433876847</v>
      </c>
      <c r="P46" s="60">
        <f t="shared" si="1"/>
        <v>1.0342138630163054</v>
      </c>
      <c r="Q46" s="60">
        <f t="shared" si="1"/>
        <v>0.68947590867753694</v>
      </c>
      <c r="R46" s="60">
        <f t="shared" si="1"/>
        <v>1.0342138630163054</v>
      </c>
      <c r="S46" s="60">
        <f t="shared" si="1"/>
        <v>0.89631868128079806</v>
      </c>
      <c r="T46" s="60">
        <f t="shared" si="1"/>
        <v>0.34473795433876847</v>
      </c>
      <c r="U46" s="60">
        <f t="shared" si="1"/>
        <v>0.20684277260326109</v>
      </c>
      <c r="V46" s="60">
        <f t="shared" si="1"/>
        <v>0.75842349954529065</v>
      </c>
      <c r="W46" s="60">
        <f t="shared" si="1"/>
        <v>7.5842349954529071</v>
      </c>
      <c r="X46" s="60">
        <f t="shared" si="1"/>
        <v>0.34473795433876847</v>
      </c>
      <c r="Y46" s="60">
        <f t="shared" si="1"/>
        <v>1.585794589958335</v>
      </c>
      <c r="Z46" s="60">
        <f t="shared" si="1"/>
        <v>7.2394970411141379</v>
      </c>
      <c r="AA46" s="60">
        <f t="shared" si="1"/>
        <v>0.68947590867753694</v>
      </c>
      <c r="AB46" s="60">
        <f t="shared" si="1"/>
        <v>0.68947590867753694</v>
      </c>
      <c r="AC46" s="60">
        <f t="shared" si="1"/>
        <v>0.34473795433876847</v>
      </c>
      <c r="AD46" s="60">
        <f t="shared" si="1"/>
        <v>0.68947590867753694</v>
      </c>
      <c r="AE46" s="60">
        <f t="shared" si="1"/>
        <v>0.68947590867753694</v>
      </c>
      <c r="AF46" s="60">
        <f t="shared" si="1"/>
        <v>0.41368554520652218</v>
      </c>
      <c r="AG46" s="60">
        <f t="shared" si="1"/>
        <v>0.20684277260326109</v>
      </c>
      <c r="AH46" s="60">
        <f t="shared" si="1"/>
        <v>0.34473795433876847</v>
      </c>
      <c r="AI46" s="60"/>
      <c r="AJ46" s="61"/>
      <c r="AK46" s="41">
        <f t="shared" ref="AK46:AQ46" si="2">AK45/14.50377</f>
        <v>1.8615849534293498</v>
      </c>
      <c r="AL46" s="60">
        <f t="shared" si="2"/>
        <v>1.8615849534293498</v>
      </c>
      <c r="AM46" s="60">
        <f t="shared" si="2"/>
        <v>1.8615849534293498</v>
      </c>
      <c r="AN46" s="60">
        <f t="shared" si="2"/>
        <v>0.34473795433876847</v>
      </c>
      <c r="AO46" s="60">
        <f t="shared" si="2"/>
        <v>0.34473795433876847</v>
      </c>
      <c r="AP46" s="60">
        <f t="shared" si="2"/>
        <v>0.34473795433876847</v>
      </c>
      <c r="AQ46" s="60">
        <f t="shared" si="2"/>
        <v>0.34473795433876847</v>
      </c>
      <c r="AR46" s="60">
        <f>AR45/14.50377</f>
        <v>1.8615849534293498</v>
      </c>
      <c r="AS46" s="62"/>
    </row>
    <row r="47" spans="1:45" x14ac:dyDescent="0.35">
      <c r="A47" s="58" t="s">
        <v>62</v>
      </c>
      <c r="B47" s="45">
        <f>[1]Calculations!B65*1000000</f>
        <v>5000</v>
      </c>
      <c r="C47" s="46">
        <f>B47</f>
        <v>5000</v>
      </c>
      <c r="D47" s="46">
        <f>C47</f>
        <v>5000</v>
      </c>
      <c r="E47" s="46">
        <v>0</v>
      </c>
      <c r="F47" s="46">
        <v>0</v>
      </c>
      <c r="G47" s="47">
        <f>F47</f>
        <v>0</v>
      </c>
      <c r="H47" s="47">
        <f>G47</f>
        <v>0</v>
      </c>
      <c r="I47" s="47">
        <f>E47</f>
        <v>0</v>
      </c>
      <c r="J47" s="47">
        <f t="shared" ref="J47:K49" si="3">H47</f>
        <v>0</v>
      </c>
      <c r="K47" s="47">
        <f t="shared" si="3"/>
        <v>0</v>
      </c>
      <c r="L47" s="47">
        <v>0</v>
      </c>
      <c r="M47" s="47">
        <f>L47</f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f>Y47</f>
        <v>0</v>
      </c>
      <c r="AD47" s="47">
        <f>[1]Calculations!B76*1000000</f>
        <v>100000.0000000001</v>
      </c>
      <c r="AE47" s="47">
        <f>[1]Calculations!B84*1000000</f>
        <v>100000.0000000001</v>
      </c>
      <c r="AF47" s="48">
        <v>0</v>
      </c>
      <c r="AG47" s="49">
        <v>0</v>
      </c>
      <c r="AH47" s="50">
        <v>0</v>
      </c>
      <c r="AI47" s="47"/>
      <c r="AJ47" s="49"/>
      <c r="AK47" s="50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63"/>
    </row>
    <row r="48" spans="1:45" ht="43.5" x14ac:dyDescent="0.35">
      <c r="A48" s="64" t="s">
        <v>63</v>
      </c>
      <c r="B48" s="65">
        <v>0</v>
      </c>
      <c r="C48" s="66">
        <v>0</v>
      </c>
      <c r="D48" s="66">
        <v>0</v>
      </c>
      <c r="E48" s="67">
        <f>[1]Calculations!B33</f>
        <v>0.60434684913677306</v>
      </c>
      <c r="F48" s="68">
        <f>E48</f>
        <v>0.60434684913677306</v>
      </c>
      <c r="G48" s="69">
        <f>[1]Calculations!B33</f>
        <v>0.60434684913677306</v>
      </c>
      <c r="H48" s="69">
        <f>[1]Calculations!B40</f>
        <v>0.58854009138322994</v>
      </c>
      <c r="I48" s="69">
        <f>[1]Calculations!B33</f>
        <v>0.60434684913677306</v>
      </c>
      <c r="J48" s="69">
        <f t="shared" si="3"/>
        <v>0.58854009138322994</v>
      </c>
      <c r="K48" s="69">
        <f t="shared" si="3"/>
        <v>0.60434684913677306</v>
      </c>
      <c r="L48" s="69">
        <f>[1]Calculations!B58</f>
        <v>0.60036853084851272</v>
      </c>
      <c r="M48" s="69">
        <f>L48</f>
        <v>0.60036853084851272</v>
      </c>
      <c r="N48" s="69">
        <v>0</v>
      </c>
      <c r="O48" s="69">
        <v>0</v>
      </c>
      <c r="P48" s="69">
        <f>[1]Calculations!B23</f>
        <v>0.745</v>
      </c>
      <c r="Q48" s="69">
        <f>[1]Calculations!B23</f>
        <v>0.745</v>
      </c>
      <c r="R48" s="69">
        <f>[1]Calculations!F17</f>
        <v>0.01</v>
      </c>
      <c r="S48" s="69">
        <f>[1]Calculations!F17</f>
        <v>0.01</v>
      </c>
      <c r="T48" s="69">
        <v>0</v>
      </c>
      <c r="U48" s="69">
        <v>0</v>
      </c>
      <c r="V48" s="69">
        <f>[1]Calculations!F17</f>
        <v>0.01</v>
      </c>
      <c r="W48" s="69">
        <f>[1]Calculations!F17</f>
        <v>0.01</v>
      </c>
      <c r="X48" s="69">
        <v>0</v>
      </c>
      <c r="Y48" s="69">
        <f>[1]Calculations!B17</f>
        <v>0.19999999999999982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70">
        <f>[1]Calculations!B23</f>
        <v>0.745</v>
      </c>
      <c r="AG48" s="71">
        <v>0</v>
      </c>
      <c r="AH48" s="72">
        <v>0</v>
      </c>
      <c r="AI48" s="69"/>
      <c r="AJ48" s="71"/>
      <c r="AK48" s="72"/>
      <c r="AL48" s="69"/>
      <c r="AM48" s="69"/>
      <c r="AN48" s="69"/>
      <c r="AO48" s="69"/>
      <c r="AP48" s="69"/>
      <c r="AQ48" s="69"/>
      <c r="AR48" s="69"/>
      <c r="AS48" s="63"/>
    </row>
    <row r="49" spans="1:44" ht="15" thickBot="1" x14ac:dyDescent="0.4">
      <c r="A49" s="73" t="s">
        <v>64</v>
      </c>
      <c r="B49" s="74">
        <v>7.8</v>
      </c>
      <c r="C49" s="75">
        <f>B49</f>
        <v>7.8</v>
      </c>
      <c r="D49" s="75">
        <v>6.5</v>
      </c>
      <c r="E49" s="75">
        <v>6.5</v>
      </c>
      <c r="F49" s="75">
        <v>7</v>
      </c>
      <c r="G49" s="76">
        <f>F49</f>
        <v>7</v>
      </c>
      <c r="H49" s="76">
        <f>G49</f>
        <v>7</v>
      </c>
      <c r="I49" s="76">
        <f>F49</f>
        <v>7</v>
      </c>
      <c r="J49" s="76">
        <f t="shared" si="3"/>
        <v>7</v>
      </c>
      <c r="K49" s="76">
        <f t="shared" si="3"/>
        <v>7</v>
      </c>
      <c r="L49" s="76">
        <v>7</v>
      </c>
      <c r="M49" s="76">
        <f>L49</f>
        <v>7</v>
      </c>
      <c r="N49" s="76">
        <v>7</v>
      </c>
      <c r="O49" s="76">
        <v>7</v>
      </c>
      <c r="P49" s="76">
        <v>7</v>
      </c>
      <c r="Q49" s="76">
        <v>7</v>
      </c>
      <c r="R49" s="76">
        <v>7</v>
      </c>
      <c r="S49" s="76">
        <v>7</v>
      </c>
      <c r="T49" s="76">
        <v>7</v>
      </c>
      <c r="U49" s="76">
        <v>7</v>
      </c>
      <c r="V49" s="76">
        <v>7</v>
      </c>
      <c r="W49" s="76">
        <v>7</v>
      </c>
      <c r="X49" s="76">
        <v>7</v>
      </c>
      <c r="Y49" s="76">
        <v>7</v>
      </c>
      <c r="Z49" s="76">
        <v>7</v>
      </c>
      <c r="AA49" s="76">
        <v>7</v>
      </c>
      <c r="AB49" s="76">
        <v>7</v>
      </c>
      <c r="AC49" s="76">
        <v>7</v>
      </c>
      <c r="AD49" s="76">
        <v>7</v>
      </c>
      <c r="AE49" s="76">
        <v>7</v>
      </c>
      <c r="AF49" s="77">
        <v>7</v>
      </c>
      <c r="AG49" s="78">
        <v>7</v>
      </c>
      <c r="AH49" s="79">
        <v>7</v>
      </c>
      <c r="AI49" s="76"/>
      <c r="AJ49" s="78"/>
      <c r="AK49" s="79"/>
      <c r="AL49" s="76"/>
      <c r="AM49" s="76"/>
      <c r="AN49" s="76"/>
      <c r="AO49" s="76"/>
      <c r="AP49" s="76"/>
      <c r="AQ49" s="76"/>
      <c r="AR49" s="76"/>
    </row>
    <row r="50" spans="1:44" x14ac:dyDescent="0.35">
      <c r="A50" s="19" t="s">
        <v>65</v>
      </c>
      <c r="B50" s="19"/>
      <c r="C50" s="19"/>
      <c r="D50" s="19"/>
      <c r="E50" s="19"/>
      <c r="F50" s="19"/>
      <c r="J50" s="63">
        <f>-[1]Calculations!M329</f>
        <v>2123.934617161291</v>
      </c>
      <c r="K50" s="63">
        <f>-[1]Calculations!M208</f>
        <v>5939.7885184148063</v>
      </c>
      <c r="M50" s="63">
        <f>-[1]Calculations!M539</f>
        <v>2002.3666513044759</v>
      </c>
      <c r="O50" s="63">
        <f>-[1]Calculations!M522</f>
        <v>-2002.7022583333335</v>
      </c>
      <c r="Q50" s="63">
        <f>-[1]Calculations!M189</f>
        <v>-5940.5842843744404</v>
      </c>
      <c r="S50" s="63">
        <f>-[1]Calculations!M310</f>
        <v>-2125.8644725443178</v>
      </c>
      <c r="U50" s="63">
        <f>-[1]Calculations!M619</f>
        <v>630.89695520833334</v>
      </c>
      <c r="V50" s="63">
        <f>-[1]Calculations!M602</f>
        <v>-632.77183153119483</v>
      </c>
      <c r="AF50" s="63">
        <f>-[1]Calculations!M437</f>
        <v>-1061.8189655311371</v>
      </c>
      <c r="AH50" s="63">
        <f>-[1]Calculations!M454</f>
        <v>1060.8610224271808</v>
      </c>
    </row>
    <row r="51" spans="1:44" x14ac:dyDescent="0.35">
      <c r="A51" s="19"/>
      <c r="B51" s="19"/>
      <c r="C51" s="19"/>
      <c r="D51" s="19"/>
      <c r="E51" s="19"/>
      <c r="F51" s="19"/>
    </row>
    <row r="53" spans="1:44" ht="16.5" x14ac:dyDescent="0.35">
      <c r="A53" s="80">
        <f>1000/24</f>
        <v>41.666666666666664</v>
      </c>
      <c r="B53" s="80" t="s">
        <v>66</v>
      </c>
      <c r="C53" s="80">
        <f>C44/'[1]Properties Reference Tables'!L62*1000</f>
        <v>41024.248915792094</v>
      </c>
      <c r="E53" s="80"/>
      <c r="I53" s="81"/>
      <c r="K53" s="10"/>
      <c r="L53" s="11"/>
      <c r="P53" s="10"/>
      <c r="T53" s="80">
        <f>(S44*S47+AC44*AC47)/T44</f>
        <v>0</v>
      </c>
      <c r="Y53" s="63"/>
      <c r="Z53" s="80">
        <f>N44*N47/Z44</f>
        <v>0</v>
      </c>
      <c r="AB53" s="63"/>
      <c r="AE53" s="11"/>
      <c r="AI53" s="10"/>
    </row>
    <row r="54" spans="1:44" x14ac:dyDescent="0.35">
      <c r="A54" s="19" t="s">
        <v>67</v>
      </c>
      <c r="B54" s="19"/>
      <c r="C54" s="19"/>
      <c r="D54" s="19"/>
      <c r="E54" s="19"/>
      <c r="F54" s="19"/>
      <c r="G54" s="19"/>
      <c r="H54" s="19"/>
      <c r="I54" s="19"/>
      <c r="J54">
        <v>1026</v>
      </c>
      <c r="K54">
        <v>1026</v>
      </c>
      <c r="L54">
        <v>1026</v>
      </c>
      <c r="M54">
        <v>1024</v>
      </c>
      <c r="N54">
        <v>1025</v>
      </c>
      <c r="O54">
        <v>1025</v>
      </c>
      <c r="P54">
        <v>1078.05</v>
      </c>
      <c r="Q54">
        <v>1076.1300000000001</v>
      </c>
      <c r="R54">
        <v>1076.1300000000001</v>
      </c>
      <c r="S54">
        <v>1076.1300000000001</v>
      </c>
      <c r="T54">
        <v>1076.1300000000001</v>
      </c>
      <c r="U54">
        <v>1076.1300000000001</v>
      </c>
      <c r="V54">
        <v>1076.1300000000001</v>
      </c>
      <c r="W54">
        <v>1076.1300000000001</v>
      </c>
      <c r="X54">
        <v>1083.27</v>
      </c>
      <c r="Y54">
        <v>1083.27</v>
      </c>
      <c r="Z54">
        <v>972</v>
      </c>
      <c r="AA54">
        <v>990.2</v>
      </c>
      <c r="AB54">
        <v>993.4</v>
      </c>
      <c r="AC54">
        <v>993.4</v>
      </c>
      <c r="AD54">
        <v>993.4</v>
      </c>
      <c r="AE54">
        <v>1020</v>
      </c>
      <c r="AF54">
        <v>1025.0999999999999</v>
      </c>
      <c r="AG54">
        <v>968</v>
      </c>
      <c r="AH54">
        <v>968.8</v>
      </c>
    </row>
    <row r="55" spans="1:44" x14ac:dyDescent="0.35">
      <c r="A55" s="19" t="s">
        <v>68</v>
      </c>
      <c r="B55" s="19"/>
      <c r="C55" s="19"/>
      <c r="D55" s="19"/>
      <c r="E55" s="19"/>
      <c r="F55" s="19"/>
      <c r="G55" s="19"/>
      <c r="H55" s="19"/>
      <c r="I55" s="19"/>
      <c r="J55">
        <v>2.3199999999999998</v>
      </c>
      <c r="K55">
        <v>1.18</v>
      </c>
      <c r="L55">
        <v>1.1399999999999999</v>
      </c>
      <c r="M55">
        <v>1.18</v>
      </c>
      <c r="N55">
        <v>1.1399999999999999</v>
      </c>
      <c r="O55">
        <v>2.3199999999999998</v>
      </c>
      <c r="P55">
        <v>3.73</v>
      </c>
      <c r="Q55">
        <v>3.9</v>
      </c>
      <c r="R55">
        <v>1.84</v>
      </c>
      <c r="S55">
        <v>2.06</v>
      </c>
      <c r="T55">
        <v>1.84</v>
      </c>
      <c r="U55">
        <v>2.06</v>
      </c>
      <c r="V55">
        <v>3.9</v>
      </c>
      <c r="W55">
        <v>3.9</v>
      </c>
      <c r="X55">
        <v>2.73</v>
      </c>
      <c r="Y55">
        <v>2.73</v>
      </c>
      <c r="Z55">
        <v>1.18</v>
      </c>
      <c r="AA55">
        <v>1.18</v>
      </c>
      <c r="AB55">
        <v>1.18</v>
      </c>
      <c r="AC55">
        <v>1</v>
      </c>
      <c r="AD55">
        <v>0.18</v>
      </c>
      <c r="AE55">
        <v>1.32</v>
      </c>
      <c r="AF55">
        <v>1.32</v>
      </c>
      <c r="AG55">
        <v>17.899999999999999</v>
      </c>
      <c r="AH55">
        <v>17.899999999999999</v>
      </c>
    </row>
    <row r="56" spans="1:44" x14ac:dyDescent="0.35">
      <c r="A56" s="19" t="s">
        <v>69</v>
      </c>
      <c r="B56" s="19"/>
      <c r="C56" s="19"/>
      <c r="D56" s="19"/>
      <c r="E56" s="19"/>
      <c r="F56" s="19"/>
      <c r="G56" s="19"/>
      <c r="H56" s="19"/>
      <c r="I56" s="19"/>
      <c r="J56" s="11">
        <f>0.6944444*50*J55</f>
        <v>80.555550400000001</v>
      </c>
      <c r="K56" s="11">
        <f t="shared" ref="K56:AH56" si="4">0.6944444*50*K55</f>
        <v>40.972219599999995</v>
      </c>
      <c r="L56" s="11">
        <f t="shared" si="4"/>
        <v>39.583330799999999</v>
      </c>
      <c r="M56" s="11">
        <f t="shared" si="4"/>
        <v>40.972219599999995</v>
      </c>
      <c r="N56" s="11">
        <f t="shared" si="4"/>
        <v>39.583330799999999</v>
      </c>
      <c r="O56" s="11">
        <f t="shared" si="4"/>
        <v>80.555550400000001</v>
      </c>
      <c r="P56" s="11">
        <f t="shared" si="4"/>
        <v>129.51388059999999</v>
      </c>
      <c r="Q56" s="11">
        <f t="shared" si="4"/>
        <v>135.41665799999998</v>
      </c>
      <c r="R56" s="11">
        <f t="shared" si="4"/>
        <v>63.8888848</v>
      </c>
      <c r="S56" s="11">
        <f t="shared" si="4"/>
        <v>71.527773199999999</v>
      </c>
      <c r="T56" s="11">
        <f t="shared" si="4"/>
        <v>63.8888848</v>
      </c>
      <c r="U56" s="11">
        <f t="shared" si="4"/>
        <v>71.527773199999999</v>
      </c>
      <c r="V56" s="11">
        <f t="shared" si="4"/>
        <v>135.41665799999998</v>
      </c>
      <c r="W56" s="11">
        <f t="shared" si="4"/>
        <v>135.41665799999998</v>
      </c>
      <c r="X56" s="11">
        <f t="shared" si="4"/>
        <v>94.7916606</v>
      </c>
      <c r="Y56" s="11">
        <f t="shared" si="4"/>
        <v>94.7916606</v>
      </c>
      <c r="Z56" s="11">
        <f t="shared" si="4"/>
        <v>40.972219599999995</v>
      </c>
      <c r="AA56" s="11">
        <f t="shared" si="4"/>
        <v>40.972219599999995</v>
      </c>
      <c r="AB56" s="11">
        <f t="shared" si="4"/>
        <v>40.972219599999995</v>
      </c>
      <c r="AC56" s="11">
        <f t="shared" si="4"/>
        <v>34.72222</v>
      </c>
      <c r="AD56" s="11">
        <f t="shared" si="4"/>
        <v>6.2499995999999998</v>
      </c>
      <c r="AE56" s="11">
        <f t="shared" si="4"/>
        <v>45.833330400000001</v>
      </c>
      <c r="AF56" s="11">
        <f t="shared" si="4"/>
        <v>45.833330400000001</v>
      </c>
      <c r="AG56" s="11">
        <f t="shared" si="4"/>
        <v>621.527738</v>
      </c>
      <c r="AH56" s="11">
        <f t="shared" si="4"/>
        <v>621.527738</v>
      </c>
    </row>
    <row r="57" spans="1:44" x14ac:dyDescent="0.35">
      <c r="Y57" s="80">
        <v>0.69444439999999996</v>
      </c>
    </row>
    <row r="58" spans="1:44" x14ac:dyDescent="0.35">
      <c r="A58" t="s">
        <v>70</v>
      </c>
      <c r="M58" s="82">
        <f>M44-Y44</f>
        <v>238244.06403535735</v>
      </c>
      <c r="Q58" t="s">
        <v>71</v>
      </c>
      <c r="S58" t="e" vm="1">
        <v>#VALUE!</v>
      </c>
      <c r="Y58" s="80"/>
    </row>
    <row r="59" spans="1:44" x14ac:dyDescent="0.35">
      <c r="Y59" s="8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97B6B6482A643B72B2AEA4AF85BA9" ma:contentTypeVersion="10" ma:contentTypeDescription="Create a new document." ma:contentTypeScope="" ma:versionID="8aec7b3dc37e60dd09ba7e2c84d56f1c">
  <xsd:schema xmlns:xsd="http://www.w3.org/2001/XMLSchema" xmlns:xs="http://www.w3.org/2001/XMLSchema" xmlns:p="http://schemas.microsoft.com/office/2006/metadata/properties" xmlns:ns1="http://schemas.microsoft.com/sharepoint/v3" xmlns:ns2="aea6319c-d19b-4de9-af43-fb6354d6a9b4" targetNamespace="http://schemas.microsoft.com/office/2006/metadata/properties" ma:root="true" ma:fieldsID="277f5b562b3130c2cdb8175ee027b643" ns1:_="" ns2:_="">
    <xsd:import namespace="http://schemas.microsoft.com/sharepoint/v3"/>
    <xsd:import namespace="aea6319c-d19b-4de9-af43-fb6354d6a9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6319c-d19b-4de9-af43-fb6354d6a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5209AF5-3FA8-4CC2-B068-C9467D01C8A4}"/>
</file>

<file path=customXml/itemProps2.xml><?xml version="1.0" encoding="utf-8"?>
<ds:datastoreItem xmlns:ds="http://schemas.openxmlformats.org/officeDocument/2006/customXml" ds:itemID="{C91346DE-ED31-44A8-8B08-9544F1F510CB}"/>
</file>

<file path=customXml/itemProps3.xml><?xml version="1.0" encoding="utf-8"?>
<ds:datastoreItem xmlns:ds="http://schemas.openxmlformats.org/officeDocument/2006/customXml" ds:itemID="{FA6CD7AD-2B8C-4E76-B0F3-743F0DD1D592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PFD Brackish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Jui Shan Yong</dc:creator>
  <cp:lastModifiedBy>Jui Shan Yong</cp:lastModifiedBy>
  <dcterms:created xsi:type="dcterms:W3CDTF">2025-05-14T11:17:46Z</dcterms:created>
  <dcterms:modified xsi:type="dcterms:W3CDTF">2025-05-14T11:18:30Z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0x010100A2197B6B6482A643B72B2AEA4AF85BA9</vt:lpwstr>
  </property>
</Properties>
</file>