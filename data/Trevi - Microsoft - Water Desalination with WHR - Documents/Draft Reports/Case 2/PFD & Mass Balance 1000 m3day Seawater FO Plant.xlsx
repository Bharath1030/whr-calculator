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microsoft.sharepoint.com/teams/Trevi-Microsoft-WaterDesalinationwithWHR/Shared Documents/Draft Reports/Case 2/"/>
    </mc:Choice>
  </mc:AlternateContent>
  <xr:revisionPtr revIDLastSave="0" documentId="8_{F147B26C-CD00-45C4-9D5B-4DBC92FE239D}" xr6:coauthVersionLast="47" xr6:coauthVersionMax="47" xr10:uidLastSave="{00000000-0000-0000-0000-000000000000}"/>
  <bookViews>
    <workbookView xWindow="-110" yWindow="-110" windowWidth="25180" windowHeight="16140" xr2:uid="{4F234E8D-4DF6-4238-9433-1FB070CD2D1D}"/>
  </bookViews>
  <sheets>
    <sheet name="PFD Seawater" sheetId="1" r:id="rId1"/>
  </sheets>
  <externalReferences>
    <externalReference r:id="rId2"/>
  </externalReferences>
  <definedNames>
    <definedName name="Capacity">#REF!</definedName>
    <definedName name="TCapacity">'PFD Seawater'!$A$53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AH50" i="1"/>
  <c r="AF50" i="1"/>
  <c r="V50" i="1"/>
  <c r="U50" i="1"/>
  <c r="B52" i="1" s="1"/>
  <c r="D52" i="1" s="1"/>
  <c r="S50" i="1"/>
  <c r="Q50" i="1"/>
  <c r="O50" i="1"/>
  <c r="B51" i="1" s="1"/>
  <c r="D51" i="1" s="1"/>
  <c r="M50" i="1"/>
  <c r="K50" i="1"/>
  <c r="J50" i="1"/>
  <c r="M49" i="1"/>
  <c r="K49" i="1"/>
  <c r="I49" i="1"/>
  <c r="H49" i="1"/>
  <c r="J49" i="1" s="1"/>
  <c r="G49" i="1"/>
  <c r="C49" i="1"/>
  <c r="AF48" i="1"/>
  <c r="Y48" i="1"/>
  <c r="W48" i="1"/>
  <c r="V48" i="1"/>
  <c r="S48" i="1"/>
  <c r="R48" i="1"/>
  <c r="Q48" i="1"/>
  <c r="P48" i="1"/>
  <c r="L48" i="1"/>
  <c r="M48" i="1" s="1"/>
  <c r="J48" i="1"/>
  <c r="I48" i="1"/>
  <c r="K48" i="1" s="1"/>
  <c r="H48" i="1"/>
  <c r="G48" i="1"/>
  <c r="F48" i="1"/>
  <c r="E48" i="1"/>
  <c r="AE47" i="1"/>
  <c r="AD47" i="1"/>
  <c r="AC47" i="1"/>
  <c r="M47" i="1"/>
  <c r="I47" i="1"/>
  <c r="K47" i="1" s="1"/>
  <c r="G47" i="1"/>
  <c r="H47" i="1" s="1"/>
  <c r="J47" i="1" s="1"/>
  <c r="C47" i="1"/>
  <c r="D47" i="1" s="1"/>
  <c r="B47" i="1"/>
  <c r="AR46" i="1"/>
  <c r="AQ46" i="1"/>
  <c r="AP46" i="1"/>
  <c r="AO46" i="1"/>
  <c r="AN46" i="1"/>
  <c r="AM46" i="1"/>
  <c r="AL46" i="1"/>
  <c r="AK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G46" i="1"/>
  <c r="F46" i="1"/>
  <c r="E46" i="1"/>
  <c r="D46" i="1"/>
  <c r="C46" i="1"/>
  <c r="B46" i="1"/>
  <c r="I45" i="1"/>
  <c r="I46" i="1" s="1"/>
  <c r="H45" i="1"/>
  <c r="H46" i="1" s="1"/>
  <c r="G45" i="1"/>
  <c r="D45" i="1"/>
  <c r="AR44" i="1"/>
  <c r="AQ44" i="1"/>
  <c r="AP44" i="1"/>
  <c r="AO44" i="1"/>
  <c r="AN44" i="1"/>
  <c r="AM44" i="1"/>
  <c r="AL44" i="1"/>
  <c r="AK44" i="1"/>
  <c r="X44" i="1"/>
  <c r="AR43" i="1"/>
  <c r="AQ43" i="1"/>
  <c r="AP43" i="1"/>
  <c r="AO43" i="1"/>
  <c r="AN43" i="1"/>
  <c r="AM43" i="1"/>
  <c r="AL43" i="1"/>
  <c r="AK43" i="1"/>
  <c r="AH43" i="1"/>
  <c r="AH44" i="1" s="1"/>
  <c r="AG44" i="1" s="1"/>
  <c r="AG43" i="1" s="1"/>
  <c r="AF43" i="1"/>
  <c r="AF44" i="1" s="1"/>
  <c r="AE43" i="1"/>
  <c r="AE44" i="1" s="1"/>
  <c r="AD43" i="1"/>
  <c r="AD44" i="1" s="1"/>
  <c r="AC43" i="1"/>
  <c r="AC44" i="1" s="1"/>
  <c r="AB43" i="1"/>
  <c r="AA43" i="1"/>
  <c r="AA44" i="1" s="1"/>
  <c r="Z43" i="1"/>
  <c r="Z44" i="1" s="1"/>
  <c r="AB44" i="1" s="1"/>
  <c r="Y43" i="1"/>
  <c r="X43" i="1"/>
  <c r="V43" i="1"/>
  <c r="W43" i="1" s="1"/>
  <c r="U43" i="1"/>
  <c r="U44" i="1" s="1"/>
  <c r="T43" i="1"/>
  <c r="T44" i="1" s="1"/>
  <c r="S43" i="1"/>
  <c r="S44" i="1" s="1"/>
  <c r="R43" i="1"/>
  <c r="R44" i="1" s="1"/>
  <c r="P43" i="1"/>
  <c r="Q43" i="1" s="1"/>
  <c r="O43" i="1"/>
  <c r="N43" i="1"/>
  <c r="N44" i="1" s="1"/>
  <c r="M43" i="1"/>
  <c r="L43" i="1"/>
  <c r="I43" i="1"/>
  <c r="I44" i="1" s="1"/>
  <c r="K44" i="1" s="1"/>
  <c r="H43" i="1"/>
  <c r="H44" i="1" s="1"/>
  <c r="J44" i="1" s="1"/>
  <c r="L44" i="1" s="1"/>
  <c r="M44" i="1" s="1"/>
  <c r="G43" i="1"/>
  <c r="G44" i="1" s="1"/>
  <c r="E43" i="1"/>
  <c r="E44" i="1" s="1"/>
  <c r="F44" i="1" s="1"/>
  <c r="B43" i="1"/>
  <c r="C43" i="1" s="1"/>
  <c r="D43" i="1" s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E42" i="1"/>
  <c r="F42" i="1" s="1"/>
  <c r="C42" i="1"/>
  <c r="D42" i="1" s="1"/>
  <c r="Z53" i="1" l="1"/>
  <c r="O44" i="1"/>
  <c r="T53" i="1"/>
  <c r="V44" i="1"/>
  <c r="W44" i="1" s="1"/>
  <c r="Y44" i="1" s="1"/>
  <c r="F43" i="1"/>
  <c r="B44" i="1"/>
  <c r="C44" i="1" s="1"/>
  <c r="P44" i="1"/>
  <c r="Q44" i="1" s="1"/>
  <c r="K43" i="1"/>
  <c r="J43" i="1"/>
  <c r="C53" i="1" l="1"/>
  <c r="D44" i="1"/>
</calcChain>
</file>

<file path=xl/sharedStrings.xml><?xml version="1.0" encoding="utf-8"?>
<sst xmlns="http://schemas.openxmlformats.org/spreadsheetml/2006/main" count="77" uniqueCount="75">
  <si>
    <r>
      <t>Microsoft 1,000 m</t>
    </r>
    <r>
      <rPr>
        <vertAlign val="superscript"/>
        <sz val="22"/>
        <color theme="1"/>
        <rFont val="Aptos Narrow"/>
        <family val="2"/>
        <scheme val="minor"/>
      </rPr>
      <t>3</t>
    </r>
    <r>
      <rPr>
        <sz val="22"/>
        <color theme="1"/>
        <rFont val="Aptos Narrow"/>
        <family val="2"/>
        <scheme val="minor"/>
      </rPr>
      <t>/Day Seawater System</t>
    </r>
  </si>
  <si>
    <t>Supernatant</t>
  </si>
  <si>
    <t>Product</t>
  </si>
  <si>
    <t>Water</t>
  </si>
  <si>
    <t>Dilute</t>
  </si>
  <si>
    <t>Seawater</t>
  </si>
  <si>
    <t>Solution</t>
  </si>
  <si>
    <t>Strong Solution</t>
  </si>
  <si>
    <t>Brine</t>
  </si>
  <si>
    <t>30,45C In</t>
  </si>
  <si>
    <t>18,33C out</t>
  </si>
  <si>
    <t>Data Center heat Source</t>
  </si>
  <si>
    <t>System Conditions</t>
  </si>
  <si>
    <t>Design Conditions</t>
  </si>
  <si>
    <t>Stream Description</t>
  </si>
  <si>
    <t>Feedwater</t>
  </si>
  <si>
    <t>Filtered Feed</t>
  </si>
  <si>
    <t>Feed Water to FO Membranes</t>
  </si>
  <si>
    <t>Diluted Draw Solution</t>
  </si>
  <si>
    <t>Diluted Draw to HXs</t>
  </si>
  <si>
    <t>Diluted Draw to Water / Weak      HX-2</t>
  </si>
  <si>
    <t>Diluted Draw and Nano Reject to HX-2</t>
  </si>
  <si>
    <t>Diluted Draw to Strong / Weak HX-1</t>
  </si>
  <si>
    <t>Warm Dilute Draw from HX-2</t>
  </si>
  <si>
    <t>Warm Dilute Draw from HX-1</t>
  </si>
  <si>
    <t>Warm Dilute Draw to Boost HX-3</t>
  </si>
  <si>
    <t>Hot Dilute Draw</t>
  </si>
  <si>
    <t>Hot Water Return from Boost HX-3</t>
  </si>
  <si>
    <t>Hot Water Feed to Boost       HX-3</t>
  </si>
  <si>
    <t>Hot Conc. Draw</t>
  </si>
  <si>
    <t>Cooled Conc Draw</t>
  </si>
  <si>
    <t>Super-natant</t>
  </si>
  <si>
    <t>Cooled Super-natant</t>
  </si>
  <si>
    <t>Cooling Water to HX-4</t>
  </si>
  <si>
    <t>Return Cooling Water from         HX-4</t>
  </si>
  <si>
    <t>Chilled Super-natant</t>
  </si>
  <si>
    <t>Pressurized Super-natant to Nanofilter</t>
  </si>
  <si>
    <t>Nanofilter Permeate</t>
  </si>
  <si>
    <t>Nanofilter Reject</t>
  </si>
  <si>
    <t>Pressurized RO Feed</t>
  </si>
  <si>
    <t>Low Pressure RO Permeate</t>
  </si>
  <si>
    <t>Low Pressure RO Reject</t>
  </si>
  <si>
    <t>Remineralized Product Water</t>
  </si>
  <si>
    <t>FO Membrane Brine</t>
  </si>
  <si>
    <t>System Brine</t>
  </si>
  <si>
    <t>Chilled Strong Draw</t>
  </si>
  <si>
    <t>Return Cooling Water from HX-5</t>
  </si>
  <si>
    <t>Cooling Water to HX-5</t>
  </si>
  <si>
    <t>Chemical Injections</t>
  </si>
  <si>
    <t>Sulfuric Acid (35%)</t>
  </si>
  <si>
    <t>Sodium Hypo Chlorite to Feed Water (5%)</t>
  </si>
  <si>
    <t>Sodium Meta Bisulfite (10%)</t>
  </si>
  <si>
    <t>Sodium Hydroxide to Weak Draw (5%)</t>
  </si>
  <si>
    <t>Sodium Hydroxide to Product Water (5%)</t>
  </si>
  <si>
    <t>Calcium Chloride</t>
  </si>
  <si>
    <t>Sodium Hypo Chlorite to Product Water (12%)</t>
  </si>
  <si>
    <t>Scale Inhibitor</t>
  </si>
  <si>
    <t>Parameter</t>
  </si>
  <si>
    <t>Temperature (deg C)</t>
  </si>
  <si>
    <t>6 - 33</t>
  </si>
  <si>
    <r>
      <t>Flowrate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/h)</t>
    </r>
  </si>
  <si>
    <t>ml/min</t>
  </si>
  <si>
    <t>Mass Flowrate (kg/hr)</t>
  </si>
  <si>
    <t>g/min</t>
  </si>
  <si>
    <t>Pressure (psi)</t>
  </si>
  <si>
    <t>Pressure (bar)</t>
  </si>
  <si>
    <t>TDS (mg/l)</t>
  </si>
  <si>
    <t>Polymer Concentration (wt%)</t>
  </si>
  <si>
    <t>pH</t>
  </si>
  <si>
    <t>Heat Transfer (kW)</t>
  </si>
  <si>
    <r>
      <t>kWh/m</t>
    </r>
    <r>
      <rPr>
        <vertAlign val="superscript"/>
        <sz val="11"/>
        <color theme="1"/>
        <rFont val="Aptos Narrow"/>
        <family val="2"/>
        <scheme val="minor"/>
      </rPr>
      <t>3</t>
    </r>
  </si>
  <si>
    <t>Supplied Heat</t>
  </si>
  <si>
    <t>kW</t>
  </si>
  <si>
    <t>Supplied Cooling</t>
  </si>
  <si>
    <r>
      <t>m</t>
    </r>
    <r>
      <rPr>
        <vertAlign val="superscript"/>
        <sz val="11"/>
        <color theme="0"/>
        <rFont val="Aptos Narrow"/>
        <family val="2"/>
        <scheme val="minor"/>
      </rPr>
      <t>3</t>
    </r>
    <r>
      <rPr>
        <sz val="11"/>
        <color theme="0"/>
        <rFont val="Aptos Narrow"/>
        <family val="2"/>
        <scheme val="minor"/>
      </rPr>
      <t>/h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</si>
</sst>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%"/>
    <numFmt numFmtId="167" formatCode="0.0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  <font>
      <vertAlign val="superscript"/>
      <sz val="22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4" fillId="0" borderId="0" xfId="0" applyFont="1"/>
    <xf numFmtId="2" fontId="0" fillId="0" borderId="0" xfId="0" applyNumberFormat="1"/>
    <xf numFmtId="0" fontId="6" fillId="0" borderId="0" xfId="0" applyFont="1"/>
    <xf numFmtId="2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left"/>
    </xf>
    <xf numFmtId="0" fontId="7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165" fontId="7" fillId="0" borderId="0" xfId="0" applyNumberFormat="1" applyFont="1"/>
    <xf numFmtId="0" fontId="0" fillId="0" borderId="0" xfId="0" quotePrefix="1"/>
    <xf numFmtId="0" fontId="0" fillId="0" borderId="0" xfId="0" quotePrefix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0" fillId="0" borderId="3" xfId="0" applyBorder="1" applyAlignment="1">
      <alignment wrapText="1"/>
    </xf>
    <xf numFmtId="0" fontId="0" fillId="0" borderId="7" xfId="0" quotePrefix="1" applyBorder="1" applyAlignment="1">
      <alignment wrapText="1"/>
    </xf>
    <xf numFmtId="0" fontId="0" fillId="0" borderId="8" xfId="0" applyBorder="1" applyAlignment="1">
      <alignment wrapText="1"/>
    </xf>
    <xf numFmtId="165" fontId="0" fillId="0" borderId="8" xfId="0" applyNumberFormat="1" applyBorder="1" applyAlignment="1">
      <alignment wrapText="1"/>
    </xf>
    <xf numFmtId="165" fontId="0" fillId="0" borderId="8" xfId="0" applyNumberFormat="1" applyBorder="1"/>
    <xf numFmtId="165" fontId="0" fillId="0" borderId="9" xfId="0" applyNumberFormat="1" applyBorder="1"/>
    <xf numFmtId="165" fontId="0" fillId="0" borderId="1" xfId="0" applyNumberFormat="1" applyBorder="1"/>
    <xf numFmtId="165" fontId="0" fillId="0" borderId="10" xfId="0" applyNumberFormat="1" applyBorder="1"/>
    <xf numFmtId="165" fontId="0" fillId="0" borderId="11" xfId="0" applyNumberFormat="1" applyBorder="1" applyAlignment="1">
      <alignment wrapText="1"/>
    </xf>
    <xf numFmtId="165" fontId="0" fillId="0" borderId="12" xfId="0" applyNumberFormat="1" applyBorder="1" applyAlignment="1">
      <alignment wrapText="1"/>
    </xf>
    <xf numFmtId="164" fontId="0" fillId="0" borderId="12" xfId="0" applyNumberFormat="1" applyBorder="1" applyAlignment="1">
      <alignment wrapText="1"/>
    </xf>
    <xf numFmtId="165" fontId="0" fillId="0" borderId="13" xfId="0" applyNumberFormat="1" applyBorder="1" applyAlignment="1">
      <alignment wrapText="1"/>
    </xf>
    <xf numFmtId="2" fontId="0" fillId="0" borderId="3" xfId="0" applyNumberFormat="1" applyBorder="1"/>
    <xf numFmtId="2" fontId="0" fillId="0" borderId="14" xfId="0" applyNumberFormat="1" applyBorder="1" applyAlignment="1">
      <alignment wrapText="1"/>
    </xf>
    <xf numFmtId="164" fontId="0" fillId="0" borderId="3" xfId="0" applyNumberFormat="1" applyBorder="1"/>
    <xf numFmtId="164" fontId="0" fillId="0" borderId="14" xfId="0" applyNumberFormat="1" applyBorder="1" applyAlignment="1">
      <alignment wrapText="1"/>
    </xf>
    <xf numFmtId="0" fontId="0" fillId="0" borderId="3" xfId="0" applyBorder="1"/>
    <xf numFmtId="1" fontId="0" fillId="0" borderId="11" xfId="0" applyNumberFormat="1" applyBorder="1" applyAlignment="1">
      <alignment wrapText="1"/>
    </xf>
    <xf numFmtId="1" fontId="0" fillId="0" borderId="12" xfId="0" applyNumberFormat="1" applyBorder="1" applyAlignment="1">
      <alignment wrapText="1"/>
    </xf>
    <xf numFmtId="1" fontId="0" fillId="0" borderId="12" xfId="0" applyNumberFormat="1" applyBorder="1"/>
    <xf numFmtId="1" fontId="0" fillId="0" borderId="13" xfId="0" applyNumberFormat="1" applyBorder="1"/>
    <xf numFmtId="1" fontId="0" fillId="0" borderId="3" xfId="0" applyNumberFormat="1" applyBorder="1"/>
    <xf numFmtId="1" fontId="0" fillId="0" borderId="14" xfId="0" applyNumberFormat="1" applyBorder="1"/>
    <xf numFmtId="165" fontId="0" fillId="0" borderId="12" xfId="0" applyNumberFormat="1" applyBorder="1"/>
    <xf numFmtId="165" fontId="0" fillId="0" borderId="14" xfId="0" applyNumberFormat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2" fontId="0" fillId="0" borderId="11" xfId="0" applyNumberFormat="1" applyBorder="1" applyAlignment="1">
      <alignment wrapText="1"/>
    </xf>
    <xf numFmtId="2" fontId="0" fillId="0" borderId="12" xfId="0" applyNumberFormat="1" applyBorder="1" applyAlignment="1">
      <alignment wrapText="1"/>
    </xf>
    <xf numFmtId="2" fontId="0" fillId="0" borderId="3" xfId="0" applyNumberFormat="1" applyBorder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/>
    <xf numFmtId="0" fontId="0" fillId="0" borderId="16" xfId="0" applyBorder="1" applyAlignment="1">
      <alignment wrapText="1"/>
    </xf>
    <xf numFmtId="9" fontId="0" fillId="0" borderId="17" xfId="1" applyFont="1" applyBorder="1" applyAlignment="1">
      <alignment wrapText="1"/>
    </xf>
    <xf numFmtId="9" fontId="0" fillId="0" borderId="18" xfId="1" applyFont="1" applyBorder="1" applyAlignment="1">
      <alignment wrapText="1"/>
    </xf>
    <xf numFmtId="166" fontId="0" fillId="0" borderId="18" xfId="0" applyNumberFormat="1" applyBorder="1" applyAlignment="1">
      <alignment wrapText="1"/>
    </xf>
    <xf numFmtId="10" fontId="0" fillId="0" borderId="18" xfId="0" applyNumberFormat="1" applyBorder="1" applyAlignment="1">
      <alignment wrapText="1"/>
    </xf>
    <xf numFmtId="10" fontId="0" fillId="0" borderId="18" xfId="0" applyNumberFormat="1" applyBorder="1"/>
    <xf numFmtId="10" fontId="0" fillId="0" borderId="19" xfId="0" applyNumberFormat="1" applyBorder="1"/>
    <xf numFmtId="10" fontId="0" fillId="0" borderId="20" xfId="0" applyNumberFormat="1" applyBorder="1"/>
    <xf numFmtId="10" fontId="0" fillId="0" borderId="21" xfId="0" applyNumberFormat="1" applyBorder="1"/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4" xfId="0" applyBorder="1"/>
    <xf numFmtId="0" fontId="0" fillId="0" borderId="25" xfId="0" applyBorder="1"/>
    <xf numFmtId="0" fontId="0" fillId="0" borderId="22" xfId="0" applyBorder="1"/>
    <xf numFmtId="0" fontId="0" fillId="0" borderId="26" xfId="0" applyBorder="1"/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3" fillId="0" borderId="0" xfId="0" applyFont="1"/>
    <xf numFmtId="16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12</xdr:row>
      <xdr:rowOff>23812</xdr:rowOff>
    </xdr:from>
    <xdr:to>
      <xdr:col>17</xdr:col>
      <xdr:colOff>11906</xdr:colOff>
      <xdr:row>24</xdr:row>
      <xdr:rowOff>11906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49765A4-0299-4032-8A5F-ADAF8CDAD45F}"/>
            </a:ext>
          </a:extLst>
        </xdr:cNvPr>
        <xdr:cNvSpPr/>
      </xdr:nvSpPr>
      <xdr:spPr>
        <a:xfrm>
          <a:off x="9772650" y="2455862"/>
          <a:ext cx="602456" cy="21978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9525</xdr:colOff>
      <xdr:row>12</xdr:row>
      <xdr:rowOff>23811</xdr:rowOff>
    </xdr:from>
    <xdr:to>
      <xdr:col>17</xdr:col>
      <xdr:colOff>590550</xdr:colOff>
      <xdr:row>23</xdr:row>
      <xdr:rowOff>178593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37A3F96-41A5-4D85-9965-428356ED38E1}"/>
            </a:ext>
          </a:extLst>
        </xdr:cNvPr>
        <xdr:cNvSpPr/>
      </xdr:nvSpPr>
      <xdr:spPr>
        <a:xfrm>
          <a:off x="10372725" y="2455861"/>
          <a:ext cx="581025" cy="218043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297657</xdr:colOff>
      <xdr:row>17</xdr:row>
      <xdr:rowOff>33338</xdr:rowOff>
    </xdr:from>
    <xdr:to>
      <xdr:col>17</xdr:col>
      <xdr:colOff>326232</xdr:colOff>
      <xdr:row>17</xdr:row>
      <xdr:rowOff>33338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E2544B6-EF08-413E-AAA2-E91792999F17}"/>
            </a:ext>
          </a:extLst>
        </xdr:cNvPr>
        <xdr:cNvCxnSpPr/>
      </xdr:nvCxnSpPr>
      <xdr:spPr>
        <a:xfrm>
          <a:off x="10051257" y="3386138"/>
          <a:ext cx="638175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400050</xdr:colOff>
      <xdr:row>10</xdr:row>
      <xdr:rowOff>38100</xdr:rowOff>
    </xdr:from>
    <xdr:to>
      <xdr:col>17</xdr:col>
      <xdr:colOff>0</xdr:colOff>
      <xdr:row>16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CCC729-2C5B-4DB6-B66B-A6BDC1918A36}"/>
            </a:ext>
          </a:extLst>
        </xdr:cNvPr>
        <xdr:cNvSpPr txBox="1"/>
      </xdr:nvSpPr>
      <xdr:spPr>
        <a:xfrm rot="16200000">
          <a:off x="9648825" y="2606675"/>
          <a:ext cx="12192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92D050"/>
              </a:solidFill>
            </a:rPr>
            <a:t>Membrane</a:t>
          </a:r>
        </a:p>
      </xdr:txBody>
    </xdr:sp>
    <xdr:clientData/>
  </xdr:twoCellAnchor>
  <xdr:twoCellAnchor>
    <xdr:from>
      <xdr:col>17</xdr:col>
      <xdr:colOff>57150</xdr:colOff>
      <xdr:row>19</xdr:row>
      <xdr:rowOff>154781</xdr:rowOff>
    </xdr:from>
    <xdr:to>
      <xdr:col>17</xdr:col>
      <xdr:colOff>581025</xdr:colOff>
      <xdr:row>23</xdr:row>
      <xdr:rowOff>40481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6511B7-7004-48A9-A58A-C7988900C589}"/>
            </a:ext>
          </a:extLst>
        </xdr:cNvPr>
        <xdr:cNvSpPr txBox="1"/>
      </xdr:nvSpPr>
      <xdr:spPr>
        <a:xfrm>
          <a:off x="10420350" y="3875881"/>
          <a:ext cx="523875" cy="622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Draw Soln</a:t>
          </a:r>
        </a:p>
      </xdr:txBody>
    </xdr:sp>
    <xdr:clientData/>
  </xdr:twoCellAnchor>
  <xdr:twoCellAnchor>
    <xdr:from>
      <xdr:col>16</xdr:col>
      <xdr:colOff>197643</xdr:colOff>
      <xdr:row>17</xdr:row>
      <xdr:rowOff>100012</xdr:rowOff>
    </xdr:from>
    <xdr:to>
      <xdr:col>17</xdr:col>
      <xdr:colOff>578643</xdr:colOff>
      <xdr:row>18</xdr:row>
      <xdr:rowOff>119062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CB0F114-57AB-4939-9E25-DB49B36736E2}"/>
            </a:ext>
          </a:extLst>
        </xdr:cNvPr>
        <xdr:cNvSpPr txBox="1"/>
      </xdr:nvSpPr>
      <xdr:spPr>
        <a:xfrm>
          <a:off x="9951243" y="3452812"/>
          <a:ext cx="9906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>
              <a:solidFill>
                <a:srgbClr val="FFFF00"/>
              </a:solidFill>
            </a:rPr>
            <a:t>Fresh Water</a:t>
          </a:r>
        </a:p>
      </xdr:txBody>
    </xdr:sp>
    <xdr:clientData/>
  </xdr:twoCellAnchor>
  <xdr:twoCellAnchor>
    <xdr:from>
      <xdr:col>17</xdr:col>
      <xdr:colOff>602457</xdr:colOff>
      <xdr:row>17</xdr:row>
      <xdr:rowOff>16669</xdr:rowOff>
    </xdr:from>
    <xdr:to>
      <xdr:col>20</xdr:col>
      <xdr:colOff>605819</xdr:colOff>
      <xdr:row>17</xdr:row>
      <xdr:rowOff>16669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B442E6B-232B-4EAD-B814-DDD0B163366A}"/>
            </a:ext>
          </a:extLst>
        </xdr:cNvPr>
        <xdr:cNvCxnSpPr/>
      </xdr:nvCxnSpPr>
      <xdr:spPr>
        <a:xfrm>
          <a:off x="10965657" y="3369469"/>
          <a:ext cx="18321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22411</xdr:colOff>
      <xdr:row>15</xdr:row>
      <xdr:rowOff>12887</xdr:rowOff>
    </xdr:from>
    <xdr:to>
      <xdr:col>21</xdr:col>
      <xdr:colOff>22411</xdr:colOff>
      <xdr:row>19</xdr:row>
      <xdr:rowOff>76200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4E223BE-B89E-4ED2-9CD5-AD5266A002D8}"/>
            </a:ext>
          </a:extLst>
        </xdr:cNvPr>
        <xdr:cNvCxnSpPr/>
      </xdr:nvCxnSpPr>
      <xdr:spPr>
        <a:xfrm>
          <a:off x="12824011" y="2997387"/>
          <a:ext cx="0" cy="7999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23813</xdr:colOff>
      <xdr:row>19</xdr:row>
      <xdr:rowOff>67654</xdr:rowOff>
    </xdr:from>
    <xdr:to>
      <xdr:col>25</xdr:col>
      <xdr:colOff>120651</xdr:colOff>
      <xdr:row>19</xdr:row>
      <xdr:rowOff>67654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6121874-6396-4B05-911B-421332FEF97D}"/>
            </a:ext>
          </a:extLst>
        </xdr:cNvPr>
        <xdr:cNvCxnSpPr/>
      </xdr:nvCxnSpPr>
      <xdr:spPr>
        <a:xfrm>
          <a:off x="12825413" y="3788754"/>
          <a:ext cx="253523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23813</xdr:colOff>
      <xdr:row>14</xdr:row>
      <xdr:rowOff>185224</xdr:rowOff>
    </xdr:from>
    <xdr:to>
      <xdr:col>25</xdr:col>
      <xdr:colOff>132557</xdr:colOff>
      <xdr:row>14</xdr:row>
      <xdr:rowOff>185224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9EF4867-EC93-40D7-B307-983593307F87}"/>
            </a:ext>
          </a:extLst>
        </xdr:cNvPr>
        <xdr:cNvCxnSpPr/>
      </xdr:nvCxnSpPr>
      <xdr:spPr>
        <a:xfrm>
          <a:off x="12825413" y="2985574"/>
          <a:ext cx="254714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12</xdr:row>
      <xdr:rowOff>11906</xdr:rowOff>
    </xdr:from>
    <xdr:to>
      <xdr:col>35</xdr:col>
      <xdr:colOff>9525</xdr:colOff>
      <xdr:row>17</xdr:row>
      <xdr:rowOff>11906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37BA004-8F57-4817-AEC0-06F152DB24A5}"/>
            </a:ext>
          </a:extLst>
        </xdr:cNvPr>
        <xdr:cNvSpPr/>
      </xdr:nvSpPr>
      <xdr:spPr>
        <a:xfrm>
          <a:off x="20726400" y="2443956"/>
          <a:ext cx="619125" cy="9207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640079</xdr:colOff>
      <xdr:row>17</xdr:row>
      <xdr:rowOff>8859</xdr:rowOff>
    </xdr:from>
    <xdr:to>
      <xdr:col>35</xdr:col>
      <xdr:colOff>23810</xdr:colOff>
      <xdr:row>22</xdr:row>
      <xdr:rowOff>20765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CBDD466-DB47-474D-9020-3661DF67FECE}"/>
            </a:ext>
          </a:extLst>
        </xdr:cNvPr>
        <xdr:cNvSpPr/>
      </xdr:nvSpPr>
      <xdr:spPr>
        <a:xfrm>
          <a:off x="20725129" y="3361659"/>
          <a:ext cx="634681" cy="93265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666749</xdr:colOff>
      <xdr:row>11</xdr:row>
      <xdr:rowOff>154778</xdr:rowOff>
    </xdr:from>
    <xdr:to>
      <xdr:col>35</xdr:col>
      <xdr:colOff>135731</xdr:colOff>
      <xdr:row>13</xdr:row>
      <xdr:rowOff>128585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7E8631A-C90E-4D65-9375-A560EDDB00CD}"/>
            </a:ext>
          </a:extLst>
        </xdr:cNvPr>
        <xdr:cNvSpPr txBox="1"/>
      </xdr:nvSpPr>
      <xdr:spPr>
        <a:xfrm>
          <a:off x="20726399" y="2402678"/>
          <a:ext cx="745332" cy="342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Water</a:t>
          </a:r>
        </a:p>
      </xdr:txBody>
    </xdr:sp>
    <xdr:clientData/>
  </xdr:twoCellAnchor>
  <xdr:twoCellAnchor>
    <xdr:from>
      <xdr:col>34</xdr:col>
      <xdr:colOff>400050</xdr:colOff>
      <xdr:row>13</xdr:row>
      <xdr:rowOff>35718</xdr:rowOff>
    </xdr:from>
    <xdr:to>
      <xdr:col>34</xdr:col>
      <xdr:colOff>400050</xdr:colOff>
      <xdr:row>16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84419C3-993C-4EDD-855E-242234CF70AF}"/>
            </a:ext>
          </a:extLst>
        </xdr:cNvPr>
        <xdr:cNvCxnSpPr/>
      </xdr:nvCxnSpPr>
      <xdr:spPr>
        <a:xfrm flipV="1">
          <a:off x="21126450" y="2651918"/>
          <a:ext cx="0" cy="51673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411957</xdr:colOff>
      <xdr:row>17</xdr:row>
      <xdr:rowOff>19051</xdr:rowOff>
    </xdr:from>
    <xdr:to>
      <xdr:col>34</xdr:col>
      <xdr:colOff>411957</xdr:colOff>
      <xdr:row>19</xdr:row>
      <xdr:rowOff>178594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0B32615-0C75-470B-A880-737C91B39077}"/>
            </a:ext>
          </a:extLst>
        </xdr:cNvPr>
        <xdr:cNvCxnSpPr/>
      </xdr:nvCxnSpPr>
      <xdr:spPr>
        <a:xfrm>
          <a:off x="21138357" y="3371851"/>
          <a:ext cx="0" cy="52784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596837</xdr:colOff>
      <xdr:row>19</xdr:row>
      <xdr:rowOff>142873</xdr:rowOff>
    </xdr:from>
    <xdr:to>
      <xdr:col>35</xdr:col>
      <xdr:colOff>187261</xdr:colOff>
      <xdr:row>22</xdr:row>
      <xdr:rowOff>59530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AC8C38A-AE35-4E4A-A6D6-C34BF18A4FC9}"/>
            </a:ext>
          </a:extLst>
        </xdr:cNvPr>
        <xdr:cNvSpPr txBox="1"/>
      </xdr:nvSpPr>
      <xdr:spPr>
        <a:xfrm>
          <a:off x="20713637" y="3863973"/>
          <a:ext cx="809624" cy="469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 </a:t>
          </a:r>
        </a:p>
        <a:p>
          <a:pPr algn="ctr"/>
          <a:r>
            <a:rPr lang="en-US" sz="1100"/>
            <a:t>Solution</a:t>
          </a:r>
        </a:p>
      </xdr:txBody>
    </xdr:sp>
    <xdr:clientData/>
  </xdr:twoCellAnchor>
  <xdr:twoCellAnchor>
    <xdr:from>
      <xdr:col>33</xdr:col>
      <xdr:colOff>609600</xdr:colOff>
      <xdr:row>15</xdr:row>
      <xdr:rowOff>144145</xdr:rowOff>
    </xdr:from>
    <xdr:to>
      <xdr:col>35</xdr:col>
      <xdr:colOff>132239</xdr:colOff>
      <xdr:row>18</xdr:row>
      <xdr:rowOff>34607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9D7E849-07E7-4715-AE27-255F3AE50DDA}"/>
            </a:ext>
          </a:extLst>
        </xdr:cNvPr>
        <xdr:cNvSpPr txBox="1"/>
      </xdr:nvSpPr>
      <xdr:spPr>
        <a:xfrm>
          <a:off x="20726400" y="3128645"/>
          <a:ext cx="741839" cy="442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Separator</a:t>
          </a:r>
        </a:p>
      </xdr:txBody>
    </xdr:sp>
    <xdr:clientData/>
  </xdr:twoCellAnchor>
  <xdr:twoCellAnchor>
    <xdr:from>
      <xdr:col>25</xdr:col>
      <xdr:colOff>773906</xdr:colOff>
      <xdr:row>15</xdr:row>
      <xdr:rowOff>2381</xdr:rowOff>
    </xdr:from>
    <xdr:to>
      <xdr:col>27</xdr:col>
      <xdr:colOff>-1</xdr:colOff>
      <xdr:row>15</xdr:row>
      <xdr:rowOff>2381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0F7E3FA-ED95-4503-8E9F-08B35D98F71A}"/>
            </a:ext>
          </a:extLst>
        </xdr:cNvPr>
        <xdr:cNvCxnSpPr/>
      </xdr:nvCxnSpPr>
      <xdr:spPr>
        <a:xfrm>
          <a:off x="15848806" y="2986881"/>
          <a:ext cx="610393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797719</xdr:colOff>
      <xdr:row>19</xdr:row>
      <xdr:rowOff>71717</xdr:rowOff>
    </xdr:from>
    <xdr:to>
      <xdr:col>27</xdr:col>
      <xdr:colOff>11906</xdr:colOff>
      <xdr:row>19</xdr:row>
      <xdr:rowOff>71717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84D86FF9-D6A1-4C38-A6EC-C2767475844C}"/>
            </a:ext>
          </a:extLst>
        </xdr:cNvPr>
        <xdr:cNvCxnSpPr/>
      </xdr:nvCxnSpPr>
      <xdr:spPr>
        <a:xfrm>
          <a:off x="15847219" y="3792817"/>
          <a:ext cx="623887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584200</xdr:colOff>
      <xdr:row>17</xdr:row>
      <xdr:rowOff>7145</xdr:rowOff>
    </xdr:from>
    <xdr:to>
      <xdr:col>34</xdr:col>
      <xdr:colOff>0</xdr:colOff>
      <xdr:row>17</xdr:row>
      <xdr:rowOff>7145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51E84390-FF0A-41B4-9443-02DA5DBC238C}"/>
            </a:ext>
          </a:extLst>
        </xdr:cNvPr>
        <xdr:cNvCxnSpPr/>
      </xdr:nvCxnSpPr>
      <xdr:spPr>
        <a:xfrm>
          <a:off x="18262600" y="3359945"/>
          <a:ext cx="2463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388144</xdr:colOff>
      <xdr:row>9</xdr:row>
      <xdr:rowOff>-1</xdr:rowOff>
    </xdr:from>
    <xdr:to>
      <xdr:col>34</xdr:col>
      <xdr:colOff>388144</xdr:colOff>
      <xdr:row>12</xdr:row>
      <xdr:rowOff>2382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F05285E-08A5-4821-B319-545A4D50D801}"/>
            </a:ext>
          </a:extLst>
        </xdr:cNvPr>
        <xdr:cNvCxnSpPr/>
      </xdr:nvCxnSpPr>
      <xdr:spPr>
        <a:xfrm flipV="1">
          <a:off x="21114544" y="1879599"/>
          <a:ext cx="0" cy="5548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303696</xdr:colOff>
      <xdr:row>8</xdr:row>
      <xdr:rowOff>180181</xdr:rowOff>
    </xdr:from>
    <xdr:to>
      <xdr:col>34</xdr:col>
      <xdr:colOff>404812</xdr:colOff>
      <xdr:row>8</xdr:row>
      <xdr:rowOff>180181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D9138D9-04A0-477F-8948-59DA84090A0D}"/>
            </a:ext>
          </a:extLst>
        </xdr:cNvPr>
        <xdr:cNvCxnSpPr/>
      </xdr:nvCxnSpPr>
      <xdr:spPr>
        <a:xfrm flipH="1">
          <a:off x="16153296" y="1875631"/>
          <a:ext cx="497791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452438</xdr:colOff>
      <xdr:row>22</xdr:row>
      <xdr:rowOff>52388</xdr:rowOff>
    </xdr:from>
    <xdr:to>
      <xdr:col>34</xdr:col>
      <xdr:colOff>452438</xdr:colOff>
      <xdr:row>23</xdr:row>
      <xdr:rowOff>23812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1A06E0D-16E9-4C26-A921-EC648D74AE68}"/>
            </a:ext>
          </a:extLst>
        </xdr:cNvPr>
        <xdr:cNvCxnSpPr/>
      </xdr:nvCxnSpPr>
      <xdr:spPr>
        <a:xfrm flipV="1">
          <a:off x="21178838" y="4325938"/>
          <a:ext cx="0" cy="1555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381000</xdr:colOff>
      <xdr:row>23</xdr:row>
      <xdr:rowOff>7143</xdr:rowOff>
    </xdr:from>
    <xdr:to>
      <xdr:col>34</xdr:col>
      <xdr:colOff>452437</xdr:colOff>
      <xdr:row>23</xdr:row>
      <xdr:rowOff>7143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C8B81B2-FF13-4B6D-B137-EFACB0AE6E96}"/>
            </a:ext>
          </a:extLst>
        </xdr:cNvPr>
        <xdr:cNvCxnSpPr/>
      </xdr:nvCxnSpPr>
      <xdr:spPr>
        <a:xfrm flipH="1">
          <a:off x="16230600" y="4464843"/>
          <a:ext cx="494823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366712</xdr:colOff>
      <xdr:row>22</xdr:row>
      <xdr:rowOff>71437</xdr:rowOff>
    </xdr:from>
    <xdr:to>
      <xdr:col>26</xdr:col>
      <xdr:colOff>366712</xdr:colOff>
      <xdr:row>23</xdr:row>
      <xdr:rowOff>23812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9B9DD3ED-8A2C-4060-BCD2-621F40A59CCB}"/>
            </a:ext>
          </a:extLst>
        </xdr:cNvPr>
        <xdr:cNvCxnSpPr/>
      </xdr:nvCxnSpPr>
      <xdr:spPr>
        <a:xfrm>
          <a:off x="16216312" y="4344987"/>
          <a:ext cx="0" cy="136525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6350</xdr:colOff>
      <xdr:row>16</xdr:row>
      <xdr:rowOff>57151</xdr:rowOff>
    </xdr:from>
    <xdr:to>
      <xdr:col>29</xdr:col>
      <xdr:colOff>596901</xdr:colOff>
      <xdr:row>20</xdr:row>
      <xdr:rowOff>47625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16FA42E-A233-4E13-93DA-67E5E1D1B72B}"/>
            </a:ext>
          </a:extLst>
        </xdr:cNvPr>
        <xdr:cNvSpPr/>
      </xdr:nvSpPr>
      <xdr:spPr>
        <a:xfrm>
          <a:off x="17684750" y="3225801"/>
          <a:ext cx="590551" cy="727074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904875</xdr:colOff>
      <xdr:row>15</xdr:row>
      <xdr:rowOff>11906</xdr:rowOff>
    </xdr:from>
    <xdr:to>
      <xdr:col>30</xdr:col>
      <xdr:colOff>0</xdr:colOff>
      <xdr:row>21</xdr:row>
      <xdr:rowOff>154780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2BBB2F1-3956-48D0-BAEA-8E74EB7FCD2B}"/>
            </a:ext>
          </a:extLst>
        </xdr:cNvPr>
        <xdr:cNvSpPr txBox="1"/>
      </xdr:nvSpPr>
      <xdr:spPr>
        <a:xfrm>
          <a:off x="17675225" y="2996406"/>
          <a:ext cx="612775" cy="1247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>
              <a:solidFill>
                <a:schemeClr val="bg1"/>
              </a:solidFill>
            </a:rPr>
            <a:t>Heated</a:t>
          </a:r>
        </a:p>
        <a:p>
          <a:pPr algn="ctr"/>
          <a:r>
            <a:rPr lang="en-US" sz="1000">
              <a:solidFill>
                <a:schemeClr val="bg1"/>
              </a:solidFill>
            </a:rPr>
            <a:t>Water/ Weak         HX-3</a:t>
          </a:r>
        </a:p>
      </xdr:txBody>
    </xdr:sp>
    <xdr:clientData/>
  </xdr:twoCellAnchor>
  <xdr:twoCellAnchor>
    <xdr:from>
      <xdr:col>29</xdr:col>
      <xdr:colOff>569913</xdr:colOff>
      <xdr:row>19</xdr:row>
      <xdr:rowOff>20638</xdr:rowOff>
    </xdr:from>
    <xdr:to>
      <xdr:col>31</xdr:col>
      <xdr:colOff>0</xdr:colOff>
      <xdr:row>19</xdr:row>
      <xdr:rowOff>20638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731C05D-3BAF-48B7-B09D-10CB68AB4DB9}"/>
            </a:ext>
          </a:extLst>
        </xdr:cNvPr>
        <xdr:cNvCxnSpPr/>
      </xdr:nvCxnSpPr>
      <xdr:spPr>
        <a:xfrm>
          <a:off x="18248313" y="3741738"/>
          <a:ext cx="649287" cy="0"/>
        </a:xfrm>
        <a:prstGeom prst="line">
          <a:avLst/>
        </a:prstGeom>
        <a:ln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333374</xdr:colOff>
      <xdr:row>18</xdr:row>
      <xdr:rowOff>186530</xdr:rowOff>
    </xdr:from>
    <xdr:to>
      <xdr:col>28</xdr:col>
      <xdr:colOff>1007269</xdr:colOff>
      <xdr:row>18</xdr:row>
      <xdr:rowOff>186530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881648B-6089-4744-A59E-1D5747F3442C}"/>
            </a:ext>
          </a:extLst>
        </xdr:cNvPr>
        <xdr:cNvCxnSpPr/>
      </xdr:nvCxnSpPr>
      <xdr:spPr>
        <a:xfrm>
          <a:off x="16792574" y="3723480"/>
          <a:ext cx="883445" cy="0"/>
        </a:xfrm>
        <a:prstGeom prst="line">
          <a:avLst/>
        </a:prstGeom>
        <a:ln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142876</xdr:colOff>
      <xdr:row>12</xdr:row>
      <xdr:rowOff>0</xdr:rowOff>
    </xdr:from>
    <xdr:to>
      <xdr:col>25</xdr:col>
      <xdr:colOff>797719</xdr:colOff>
      <xdr:row>16</xdr:row>
      <xdr:rowOff>14288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64D13A7-0816-429B-8C50-78BDE44C2ABB}"/>
            </a:ext>
          </a:extLst>
        </xdr:cNvPr>
        <xdr:cNvSpPr/>
      </xdr:nvSpPr>
      <xdr:spPr>
        <a:xfrm>
          <a:off x="15382876" y="2432050"/>
          <a:ext cx="464343" cy="750888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11907</xdr:colOff>
      <xdr:row>12</xdr:row>
      <xdr:rowOff>71436</xdr:rowOff>
    </xdr:from>
    <xdr:to>
      <xdr:col>26</xdr:col>
      <xdr:colOff>11907</xdr:colOff>
      <xdr:row>15</xdr:row>
      <xdr:rowOff>138112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6E6A16C-0073-428D-8DC3-C78BAD92F621}"/>
            </a:ext>
          </a:extLst>
        </xdr:cNvPr>
        <xdr:cNvSpPr txBox="1"/>
      </xdr:nvSpPr>
      <xdr:spPr>
        <a:xfrm>
          <a:off x="15251907" y="2503486"/>
          <a:ext cx="609600" cy="619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</a:rPr>
            <a:t>Water/   Weak           HX-2</a:t>
          </a:r>
        </a:p>
      </xdr:txBody>
    </xdr:sp>
    <xdr:clientData/>
  </xdr:twoCellAnchor>
  <xdr:twoCellAnchor>
    <xdr:from>
      <xdr:col>25</xdr:col>
      <xdr:colOff>154781</xdr:colOff>
      <xdr:row>19</xdr:row>
      <xdr:rowOff>11907</xdr:rowOff>
    </xdr:from>
    <xdr:to>
      <xdr:col>25</xdr:col>
      <xdr:colOff>785812</xdr:colOff>
      <xdr:row>23</xdr:row>
      <xdr:rowOff>-1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0F0C320-BA44-4C55-8868-47A66252B3AF}"/>
            </a:ext>
          </a:extLst>
        </xdr:cNvPr>
        <xdr:cNvSpPr/>
      </xdr:nvSpPr>
      <xdr:spPr>
        <a:xfrm>
          <a:off x="15394781" y="3733007"/>
          <a:ext cx="453231" cy="72469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702468</xdr:colOff>
      <xdr:row>13</xdr:row>
      <xdr:rowOff>7144</xdr:rowOff>
    </xdr:from>
    <xdr:to>
      <xdr:col>25</xdr:col>
      <xdr:colOff>119062</xdr:colOff>
      <xdr:row>13</xdr:row>
      <xdr:rowOff>7144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A2C085C-CCE4-4DB0-AC3E-13141607D7FA}"/>
            </a:ext>
          </a:extLst>
        </xdr:cNvPr>
        <xdr:cNvCxnSpPr/>
      </xdr:nvCxnSpPr>
      <xdr:spPr>
        <a:xfrm flipH="1">
          <a:off x="14628018" y="2623344"/>
          <a:ext cx="731044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11906</xdr:colOff>
      <xdr:row>22</xdr:row>
      <xdr:rowOff>66675</xdr:rowOff>
    </xdr:from>
    <xdr:to>
      <xdr:col>25</xdr:col>
      <xdr:colOff>166687</xdr:colOff>
      <xdr:row>22</xdr:row>
      <xdr:rowOff>66675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F502634-0797-4618-B7F1-128F6034907C}"/>
            </a:ext>
          </a:extLst>
        </xdr:cNvPr>
        <xdr:cNvCxnSpPr/>
      </xdr:nvCxnSpPr>
      <xdr:spPr>
        <a:xfrm flipH="1">
          <a:off x="12813506" y="4340225"/>
          <a:ext cx="2593181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773907</xdr:colOff>
      <xdr:row>22</xdr:row>
      <xdr:rowOff>59531</xdr:rowOff>
    </xdr:from>
    <xdr:to>
      <xdr:col>26</xdr:col>
      <xdr:colOff>381000</xdr:colOff>
      <xdr:row>22</xdr:row>
      <xdr:rowOff>59531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8244A422-DCFA-4E2B-9A49-60AE273BE4E8}"/>
            </a:ext>
          </a:extLst>
        </xdr:cNvPr>
        <xdr:cNvCxnSpPr/>
      </xdr:nvCxnSpPr>
      <xdr:spPr>
        <a:xfrm flipH="1">
          <a:off x="15848807" y="4333081"/>
          <a:ext cx="38179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305490</xdr:colOff>
      <xdr:row>9</xdr:row>
      <xdr:rowOff>-1</xdr:rowOff>
    </xdr:from>
    <xdr:to>
      <xdr:col>26</xdr:col>
      <xdr:colOff>305490</xdr:colOff>
      <xdr:row>13</xdr:row>
      <xdr:rowOff>2382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34463325-0004-453E-95EC-C233EFD915A7}"/>
            </a:ext>
          </a:extLst>
        </xdr:cNvPr>
        <xdr:cNvCxnSpPr/>
      </xdr:nvCxnSpPr>
      <xdr:spPr>
        <a:xfrm>
          <a:off x="16155090" y="1879599"/>
          <a:ext cx="0" cy="738983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809626</xdr:colOff>
      <xdr:row>12</xdr:row>
      <xdr:rowOff>178594</xdr:rowOff>
    </xdr:from>
    <xdr:to>
      <xdr:col>26</xdr:col>
      <xdr:colOff>309563</xdr:colOff>
      <xdr:row>12</xdr:row>
      <xdr:rowOff>178594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2937EB5-3720-4138-B3B7-1E19C881EAD6}"/>
            </a:ext>
          </a:extLst>
        </xdr:cNvPr>
        <xdr:cNvCxnSpPr/>
      </xdr:nvCxnSpPr>
      <xdr:spPr>
        <a:xfrm flipH="1">
          <a:off x="15846426" y="2610644"/>
          <a:ext cx="312737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</xdr:row>
      <xdr:rowOff>59532</xdr:rowOff>
    </xdr:from>
    <xdr:to>
      <xdr:col>9</xdr:col>
      <xdr:colOff>23814</xdr:colOff>
      <xdr:row>12</xdr:row>
      <xdr:rowOff>35718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7792412-C9AC-4834-806E-9CBB5BEA9BB9}"/>
            </a:ext>
          </a:extLst>
        </xdr:cNvPr>
        <xdr:cNvSpPr/>
      </xdr:nvSpPr>
      <xdr:spPr>
        <a:xfrm>
          <a:off x="4876800" y="1754982"/>
          <a:ext cx="633414" cy="71278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547495</xdr:colOff>
      <xdr:row>8</xdr:row>
      <xdr:rowOff>21551</xdr:rowOff>
    </xdr:from>
    <xdr:to>
      <xdr:col>9</xdr:col>
      <xdr:colOff>122679</xdr:colOff>
      <xdr:row>12</xdr:row>
      <xdr:rowOff>81082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92DB9AB-3239-4DBB-BFCF-5B59567DAB15}"/>
            </a:ext>
          </a:extLst>
        </xdr:cNvPr>
        <xdr:cNvSpPr txBox="1"/>
      </xdr:nvSpPr>
      <xdr:spPr>
        <a:xfrm>
          <a:off x="4814695" y="1717001"/>
          <a:ext cx="794384" cy="7961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Carbon</a:t>
          </a:r>
          <a:r>
            <a:rPr lang="en-US" sz="1100" baseline="0"/>
            <a:t> /        Remin.</a:t>
          </a:r>
          <a:endParaRPr lang="en-US" sz="1100"/>
        </a:p>
      </xdr:txBody>
    </xdr:sp>
    <xdr:clientData/>
  </xdr:twoCellAnchor>
  <xdr:twoCellAnchor>
    <xdr:from>
      <xdr:col>1</xdr:col>
      <xdr:colOff>11906</xdr:colOff>
      <xdr:row>16</xdr:row>
      <xdr:rowOff>182077</xdr:rowOff>
    </xdr:from>
    <xdr:to>
      <xdr:col>2</xdr:col>
      <xdr:colOff>11905</xdr:colOff>
      <xdr:row>16</xdr:row>
      <xdr:rowOff>182077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64A688B6-A6DE-4776-8834-F381204B3FB5}"/>
            </a:ext>
          </a:extLst>
        </xdr:cNvPr>
        <xdr:cNvCxnSpPr/>
      </xdr:nvCxnSpPr>
      <xdr:spPr>
        <a:xfrm>
          <a:off x="621506" y="3350727"/>
          <a:ext cx="609599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148827</xdr:colOff>
      <xdr:row>9</xdr:row>
      <xdr:rowOff>183356</xdr:rowOff>
    </xdr:from>
    <xdr:to>
      <xdr:col>14</xdr:col>
      <xdr:colOff>155902</xdr:colOff>
      <xdr:row>16</xdr:row>
      <xdr:rowOff>95246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EA0F765-2AD2-4EE4-AB26-52CD15015919}"/>
            </a:ext>
          </a:extLst>
        </xdr:cNvPr>
        <xdr:cNvCxnSpPr>
          <a:endCxn id="174" idx="0"/>
        </xdr:cNvCxnSpPr>
      </xdr:nvCxnSpPr>
      <xdr:spPr>
        <a:xfrm flipH="1">
          <a:off x="8683227" y="2062956"/>
          <a:ext cx="7075" cy="12009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136525</xdr:rowOff>
    </xdr:from>
    <xdr:to>
      <xdr:col>16</xdr:col>
      <xdr:colOff>321469</xdr:colOff>
      <xdr:row>25</xdr:row>
      <xdr:rowOff>136525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4F43533B-EAD9-44CC-B9A6-E870466A9856}"/>
            </a:ext>
          </a:extLst>
        </xdr:cNvPr>
        <xdr:cNvCxnSpPr/>
      </xdr:nvCxnSpPr>
      <xdr:spPr>
        <a:xfrm flipH="1">
          <a:off x="609600" y="4962525"/>
          <a:ext cx="94654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23813</xdr:colOff>
      <xdr:row>10</xdr:row>
      <xdr:rowOff>66675</xdr:rowOff>
    </xdr:from>
    <xdr:to>
      <xdr:col>8</xdr:col>
      <xdr:colOff>23812</xdr:colOff>
      <xdr:row>10</xdr:row>
      <xdr:rowOff>66675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DA3DAA57-0E05-481B-80D6-E3C242AF328B}"/>
            </a:ext>
          </a:extLst>
        </xdr:cNvPr>
        <xdr:cNvCxnSpPr/>
      </xdr:nvCxnSpPr>
      <xdr:spPr>
        <a:xfrm flipH="1">
          <a:off x="633413" y="2130425"/>
          <a:ext cx="42671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297657</xdr:colOff>
      <xdr:row>8</xdr:row>
      <xdr:rowOff>188118</xdr:rowOff>
    </xdr:from>
    <xdr:to>
      <xdr:col>22</xdr:col>
      <xdr:colOff>392906</xdr:colOff>
      <xdr:row>8</xdr:row>
      <xdr:rowOff>188118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AB188FAB-5553-4F4A-9159-2A41274E3945}"/>
            </a:ext>
          </a:extLst>
        </xdr:cNvPr>
        <xdr:cNvCxnSpPr/>
      </xdr:nvCxnSpPr>
      <xdr:spPr>
        <a:xfrm flipH="1">
          <a:off x="12489657" y="1877218"/>
          <a:ext cx="13144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473869</xdr:colOff>
      <xdr:row>9</xdr:row>
      <xdr:rowOff>9525</xdr:rowOff>
    </xdr:from>
    <xdr:to>
      <xdr:col>12</xdr:col>
      <xdr:colOff>473869</xdr:colOff>
      <xdr:row>10</xdr:row>
      <xdr:rowOff>95250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A73DFDD-DD77-4F63-81DD-EEE2B4381E20}"/>
            </a:ext>
          </a:extLst>
        </xdr:cNvPr>
        <xdr:cNvCxnSpPr/>
      </xdr:nvCxnSpPr>
      <xdr:spPr>
        <a:xfrm>
          <a:off x="7789069" y="1889125"/>
          <a:ext cx="0" cy="269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1000125</xdr:colOff>
      <xdr:row>10</xdr:row>
      <xdr:rowOff>83344</xdr:rowOff>
    </xdr:from>
    <xdr:to>
      <xdr:col>12</xdr:col>
      <xdr:colOff>476249</xdr:colOff>
      <xdr:row>10</xdr:row>
      <xdr:rowOff>83344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B7DC858-2995-44BF-AB8E-7A79767D285D}"/>
            </a:ext>
          </a:extLst>
        </xdr:cNvPr>
        <xdr:cNvCxnSpPr/>
      </xdr:nvCxnSpPr>
      <xdr:spPr>
        <a:xfrm flipH="1">
          <a:off x="5483225" y="2147094"/>
          <a:ext cx="230822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11906</xdr:colOff>
      <xdr:row>25</xdr:row>
      <xdr:rowOff>11906</xdr:rowOff>
    </xdr:from>
    <xdr:to>
      <xdr:col>30</xdr:col>
      <xdr:colOff>23814</xdr:colOff>
      <xdr:row>29</xdr:row>
      <xdr:rowOff>2381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9BAE4BC2-F565-4195-B4F3-265CF78570EF}"/>
            </a:ext>
          </a:extLst>
        </xdr:cNvPr>
        <xdr:cNvSpPr/>
      </xdr:nvSpPr>
      <xdr:spPr>
        <a:xfrm>
          <a:off x="17690306" y="4837906"/>
          <a:ext cx="621508" cy="7270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639605</xdr:colOff>
      <xdr:row>24</xdr:row>
      <xdr:rowOff>116300</xdr:rowOff>
    </xdr:from>
    <xdr:to>
      <xdr:col>31</xdr:col>
      <xdr:colOff>75725</xdr:colOff>
      <xdr:row>29</xdr:row>
      <xdr:rowOff>54388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778498E-4B98-47E6-A4A0-C26C7234A436}"/>
            </a:ext>
          </a:extLst>
        </xdr:cNvPr>
        <xdr:cNvSpPr txBox="1"/>
      </xdr:nvSpPr>
      <xdr:spPr>
        <a:xfrm>
          <a:off x="17676655" y="4758150"/>
          <a:ext cx="1296670" cy="8588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 baseline="0"/>
        </a:p>
        <a:p>
          <a:pPr algn="ctr"/>
          <a:endParaRPr lang="en-US" sz="1100" baseline="0"/>
        </a:p>
        <a:p>
          <a:pPr algn="l"/>
          <a:r>
            <a:rPr lang="en-US" sz="800" baseline="0"/>
            <a:t>Heat Pump</a:t>
          </a:r>
          <a:endParaRPr lang="en-US" sz="800"/>
        </a:p>
      </xdr:txBody>
    </xdr:sp>
    <xdr:clientData/>
  </xdr:twoCellAnchor>
  <xdr:twoCellAnchor>
    <xdr:from>
      <xdr:col>30</xdr:col>
      <xdr:colOff>35719</xdr:colOff>
      <xdr:row>26</xdr:row>
      <xdr:rowOff>178595</xdr:rowOff>
    </xdr:from>
    <xdr:to>
      <xdr:col>31</xdr:col>
      <xdr:colOff>0</xdr:colOff>
      <xdr:row>26</xdr:row>
      <xdr:rowOff>178595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B3CE3E3B-0BC3-4579-A034-A3550B3E5BDB}"/>
            </a:ext>
          </a:extLst>
        </xdr:cNvPr>
        <xdr:cNvCxnSpPr/>
      </xdr:nvCxnSpPr>
      <xdr:spPr>
        <a:xfrm>
          <a:off x="18323719" y="5188745"/>
          <a:ext cx="573881" cy="0"/>
        </a:xfrm>
        <a:prstGeom prst="line">
          <a:avLst/>
        </a:prstGeom>
        <a:ln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831850</xdr:colOff>
      <xdr:row>23</xdr:row>
      <xdr:rowOff>107157</xdr:rowOff>
    </xdr:from>
    <xdr:to>
      <xdr:col>31</xdr:col>
      <xdr:colOff>4763</xdr:colOff>
      <xdr:row>27</xdr:row>
      <xdr:rowOff>7144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9742FD0-4884-4D1D-9B21-6794CCA050F3}"/>
            </a:ext>
          </a:extLst>
        </xdr:cNvPr>
        <xdr:cNvCxnSpPr/>
      </xdr:nvCxnSpPr>
      <xdr:spPr>
        <a:xfrm flipH="1" flipV="1">
          <a:off x="18897600" y="4564857"/>
          <a:ext cx="4763" cy="63658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587628</xdr:colOff>
      <xdr:row>22</xdr:row>
      <xdr:rowOff>63500</xdr:rowOff>
    </xdr:from>
    <xdr:to>
      <xdr:col>31</xdr:col>
      <xdr:colOff>70421</xdr:colOff>
      <xdr:row>23</xdr:row>
      <xdr:rowOff>119063</xdr:rowOff>
    </xdr:to>
    <xdr:sp macro="" textlink="">
      <xdr:nvSpPr>
        <xdr:cNvPr id="52" name="Arc 51">
          <a:extLst>
            <a:ext uri="{FF2B5EF4-FFF2-40B4-BE49-F238E27FC236}">
              <a16:creationId xmlns:a16="http://schemas.microsoft.com/office/drawing/2014/main" id="{7536D74D-0B38-410C-8FEC-92EE7C4EDC42}"/>
            </a:ext>
          </a:extLst>
        </xdr:cNvPr>
        <xdr:cNvSpPr/>
      </xdr:nvSpPr>
      <xdr:spPr>
        <a:xfrm>
          <a:off x="18875628" y="4337050"/>
          <a:ext cx="92393" cy="239713"/>
        </a:xfrm>
        <a:prstGeom prst="arc">
          <a:avLst>
            <a:gd name="adj1" fmla="val 16200000"/>
            <a:gd name="adj2" fmla="val 5400000"/>
          </a:avLst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1190</xdr:colOff>
      <xdr:row>19</xdr:row>
      <xdr:rowOff>35718</xdr:rowOff>
    </xdr:from>
    <xdr:to>
      <xdr:col>31</xdr:col>
      <xdr:colOff>1190</xdr:colOff>
      <xdr:row>22</xdr:row>
      <xdr:rowOff>65882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B2C190A-FA5A-4EBD-A2F4-1EFDBF76305E}"/>
            </a:ext>
          </a:extLst>
        </xdr:cNvPr>
        <xdr:cNvCxnSpPr/>
      </xdr:nvCxnSpPr>
      <xdr:spPr>
        <a:xfrm flipV="1">
          <a:off x="18898790" y="3756818"/>
          <a:ext cx="0" cy="58261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322590</xdr:colOff>
      <xdr:row>23</xdr:row>
      <xdr:rowOff>74800</xdr:rowOff>
    </xdr:from>
    <xdr:to>
      <xdr:col>27</xdr:col>
      <xdr:colOff>322590</xdr:colOff>
      <xdr:row>27</xdr:row>
      <xdr:rowOff>11906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BE5285DE-E330-47E2-A163-B4B6DFF77A22}"/>
            </a:ext>
          </a:extLst>
        </xdr:cNvPr>
        <xdr:cNvCxnSpPr>
          <a:endCxn id="55" idx="2"/>
        </xdr:cNvCxnSpPr>
      </xdr:nvCxnSpPr>
      <xdr:spPr>
        <a:xfrm flipV="1">
          <a:off x="16781790" y="4532500"/>
          <a:ext cx="0" cy="67370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201006</xdr:colOff>
      <xdr:row>22</xdr:row>
      <xdr:rowOff>50987</xdr:rowOff>
    </xdr:from>
    <xdr:to>
      <xdr:col>27</xdr:col>
      <xdr:colOff>444174</xdr:colOff>
      <xdr:row>23</xdr:row>
      <xdr:rowOff>74800</xdr:rowOff>
    </xdr:to>
    <xdr:sp macro="" textlink="">
      <xdr:nvSpPr>
        <xdr:cNvPr id="55" name="Arc 54">
          <a:extLst>
            <a:ext uri="{FF2B5EF4-FFF2-40B4-BE49-F238E27FC236}">
              <a16:creationId xmlns:a16="http://schemas.microsoft.com/office/drawing/2014/main" id="{3C686D1F-B42B-4B6C-A0ED-55D2268D462C}"/>
            </a:ext>
          </a:extLst>
        </xdr:cNvPr>
        <xdr:cNvSpPr/>
      </xdr:nvSpPr>
      <xdr:spPr>
        <a:xfrm>
          <a:off x="16660206" y="4324537"/>
          <a:ext cx="243168" cy="207963"/>
        </a:xfrm>
        <a:prstGeom prst="arc">
          <a:avLst>
            <a:gd name="adj1" fmla="val 16200000"/>
            <a:gd name="adj2" fmla="val 5400000"/>
          </a:avLst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308162</xdr:colOff>
      <xdr:row>15</xdr:row>
      <xdr:rowOff>108138</xdr:rowOff>
    </xdr:from>
    <xdr:to>
      <xdr:col>27</xdr:col>
      <xdr:colOff>308162</xdr:colOff>
      <xdr:row>15</xdr:row>
      <xdr:rowOff>108138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BDE967C-016A-4CE4-BE70-21CFC4E8F76F}"/>
            </a:ext>
          </a:extLst>
        </xdr:cNvPr>
        <xdr:cNvCxnSpPr/>
      </xdr:nvCxnSpPr>
      <xdr:spPr>
        <a:xfrm>
          <a:off x="16767362" y="3092638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323209</xdr:colOff>
      <xdr:row>19</xdr:row>
      <xdr:rowOff>0</xdr:rowOff>
    </xdr:from>
    <xdr:to>
      <xdr:col>27</xdr:col>
      <xdr:colOff>327211</xdr:colOff>
      <xdr:row>22</xdr:row>
      <xdr:rowOff>71437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8611410-FBC3-44DF-A794-2CCF35535BF5}"/>
            </a:ext>
          </a:extLst>
        </xdr:cNvPr>
        <xdr:cNvCxnSpPr/>
      </xdr:nvCxnSpPr>
      <xdr:spPr>
        <a:xfrm flipH="1" flipV="1">
          <a:off x="16782409" y="3721100"/>
          <a:ext cx="4002" cy="62388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333374</xdr:colOff>
      <xdr:row>27</xdr:row>
      <xdr:rowOff>0</xdr:rowOff>
    </xdr:from>
    <xdr:to>
      <xdr:col>28</xdr:col>
      <xdr:colOff>1012031</xdr:colOff>
      <xdr:row>27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32E19A19-561F-44A9-8413-915F210DFA3A}"/>
            </a:ext>
          </a:extLst>
        </xdr:cNvPr>
        <xdr:cNvCxnSpPr/>
      </xdr:nvCxnSpPr>
      <xdr:spPr>
        <a:xfrm>
          <a:off x="16792574" y="5194300"/>
          <a:ext cx="888207" cy="0"/>
        </a:xfrm>
        <a:prstGeom prst="line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14286</xdr:colOff>
      <xdr:row>26</xdr:row>
      <xdr:rowOff>476</xdr:rowOff>
    </xdr:from>
    <xdr:to>
      <xdr:col>30</xdr:col>
      <xdr:colOff>11906</xdr:colOff>
      <xdr:row>28</xdr:row>
      <xdr:rowOff>16668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5CE9515D-186C-4457-B8AF-50F5DB08201E}"/>
            </a:ext>
          </a:extLst>
        </xdr:cNvPr>
        <xdr:cNvGrpSpPr/>
      </xdr:nvGrpSpPr>
      <xdr:grpSpPr>
        <a:xfrm>
          <a:off x="17692686" y="4924901"/>
          <a:ext cx="607220" cy="378142"/>
          <a:chOff x="6715126" y="4191000"/>
          <a:chExt cx="571499" cy="381000"/>
        </a:xfrm>
      </xdr:grpSpPr>
      <xdr:sp macro="" textlink="">
        <xdr:nvSpPr>
          <xdr:cNvPr id="60" name="Arc 59">
            <a:extLst>
              <a:ext uri="{FF2B5EF4-FFF2-40B4-BE49-F238E27FC236}">
                <a16:creationId xmlns:a16="http://schemas.microsoft.com/office/drawing/2014/main" id="{453CFA9A-1CD9-5BA5-DBC1-36C6666427BF}"/>
              </a:ext>
            </a:extLst>
          </xdr:cNvPr>
          <xdr:cNvSpPr/>
        </xdr:nvSpPr>
        <xdr:spPr>
          <a:xfrm>
            <a:off x="6715126" y="4191000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Arc 60">
            <a:extLst>
              <a:ext uri="{FF2B5EF4-FFF2-40B4-BE49-F238E27FC236}">
                <a16:creationId xmlns:a16="http://schemas.microsoft.com/office/drawing/2014/main" id="{2159E9DA-B828-5C50-CD1B-6E2736752DC3}"/>
              </a:ext>
            </a:extLst>
          </xdr:cNvPr>
          <xdr:cNvSpPr/>
        </xdr:nvSpPr>
        <xdr:spPr>
          <a:xfrm>
            <a:off x="6905625" y="4200525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" name="Arc 61">
            <a:extLst>
              <a:ext uri="{FF2B5EF4-FFF2-40B4-BE49-F238E27FC236}">
                <a16:creationId xmlns:a16="http://schemas.microsoft.com/office/drawing/2014/main" id="{DC33442C-B22C-5B8A-5542-871A8FBDF96D}"/>
              </a:ext>
            </a:extLst>
          </xdr:cNvPr>
          <xdr:cNvSpPr/>
        </xdr:nvSpPr>
        <xdr:spPr>
          <a:xfrm>
            <a:off x="7096125" y="4210050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350507</xdr:colOff>
      <xdr:row>14</xdr:row>
      <xdr:rowOff>47625</xdr:rowOff>
    </xdr:from>
    <xdr:to>
      <xdr:col>1</xdr:col>
      <xdr:colOff>606425</xdr:colOff>
      <xdr:row>17</xdr:row>
      <xdr:rowOff>9403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F536FF13-EDA7-4DCE-B4DD-15B1F767D9AD}"/>
            </a:ext>
          </a:extLst>
        </xdr:cNvPr>
        <xdr:cNvGrpSpPr/>
      </xdr:nvGrpSpPr>
      <xdr:grpSpPr>
        <a:xfrm>
          <a:off x="960107" y="2800350"/>
          <a:ext cx="255918" cy="504703"/>
          <a:chOff x="1327841" y="1639958"/>
          <a:chExt cx="276087" cy="534227"/>
        </a:xfrm>
      </xdr:grpSpPr>
      <xdr:sp macro="" textlink="">
        <xdr:nvSpPr>
          <xdr:cNvPr id="64" name="Hexagon 63">
            <a:extLst>
              <a:ext uri="{FF2B5EF4-FFF2-40B4-BE49-F238E27FC236}">
                <a16:creationId xmlns:a16="http://schemas.microsoft.com/office/drawing/2014/main" id="{CCEAC6C1-8A26-68F7-6591-850729A00D3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EA0648A1-CBC4-1C60-C456-50EECB3CC520}"/>
              </a:ext>
            </a:extLst>
          </xdr:cNvPr>
          <xdr:cNvGrpSpPr/>
        </xdr:nvGrpSpPr>
        <xdr:grpSpPr>
          <a:xfrm>
            <a:off x="1343024" y="1657349"/>
            <a:ext cx="257175" cy="516836"/>
            <a:chOff x="1343024" y="1657349"/>
            <a:chExt cx="257175" cy="516836"/>
          </a:xfrm>
        </xdr:grpSpPr>
        <xdr:cxnSp macro="">
          <xdr:nvCxnSpPr>
            <xdr:cNvPr id="66" name="Straight Connector 65">
              <a:extLst>
                <a:ext uri="{FF2B5EF4-FFF2-40B4-BE49-F238E27FC236}">
                  <a16:creationId xmlns:a16="http://schemas.microsoft.com/office/drawing/2014/main" id="{531FEA24-7B92-9735-B4CA-2B63E64AC18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04190D1C-430F-55DA-4641-A7F2CCD2BEB0}"/>
                </a:ext>
              </a:extLst>
            </xdr:cNvPr>
            <xdr:cNvSpPr txBox="1"/>
          </xdr:nvSpPr>
          <xdr:spPr>
            <a:xfrm>
              <a:off x="1343024" y="1657349"/>
              <a:ext cx="257175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</a:t>
              </a:r>
            </a:p>
          </xdr:txBody>
        </xdr:sp>
      </xdr:grpSp>
    </xdr:grpSp>
    <xdr:clientData/>
  </xdr:twoCellAnchor>
  <xdr:twoCellAnchor>
    <xdr:from>
      <xdr:col>12</xdr:col>
      <xdr:colOff>587317</xdr:colOff>
      <xdr:row>6</xdr:row>
      <xdr:rowOff>55246</xdr:rowOff>
    </xdr:from>
    <xdr:to>
      <xdr:col>13</xdr:col>
      <xdr:colOff>189546</xdr:colOff>
      <xdr:row>8</xdr:row>
      <xdr:rowOff>178594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6CC083FF-EF0F-4DFC-8678-3BADF15C3787}"/>
            </a:ext>
          </a:extLst>
        </xdr:cNvPr>
        <xdr:cNvGrpSpPr/>
      </xdr:nvGrpSpPr>
      <xdr:grpSpPr>
        <a:xfrm>
          <a:off x="7902517" y="1360171"/>
          <a:ext cx="211829" cy="485298"/>
          <a:chOff x="1295399" y="1639958"/>
          <a:chExt cx="353117" cy="534227"/>
        </a:xfrm>
      </xdr:grpSpPr>
      <xdr:sp macro="" textlink="">
        <xdr:nvSpPr>
          <xdr:cNvPr id="69" name="Hexagon 68">
            <a:extLst>
              <a:ext uri="{FF2B5EF4-FFF2-40B4-BE49-F238E27FC236}">
                <a16:creationId xmlns:a16="http://schemas.microsoft.com/office/drawing/2014/main" id="{4A4EC1D4-D5B7-1237-977D-F66994C2035D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82489166-67F0-7DE2-E64F-24CE0E8ABC3A}"/>
              </a:ext>
            </a:extLst>
          </xdr:cNvPr>
          <xdr:cNvGrpSpPr/>
        </xdr:nvGrpSpPr>
        <xdr:grpSpPr>
          <a:xfrm>
            <a:off x="1295399" y="1657349"/>
            <a:ext cx="353117" cy="516836"/>
            <a:chOff x="1295399" y="1657349"/>
            <a:chExt cx="353117" cy="516836"/>
          </a:xfrm>
        </xdr:grpSpPr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237B98AE-719B-3F19-B1F5-05DF849963F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DC1B691D-4028-9823-797D-2617093BDCCC}"/>
                </a:ext>
              </a:extLst>
            </xdr:cNvPr>
            <xdr:cNvSpPr txBox="1"/>
          </xdr:nvSpPr>
          <xdr:spPr>
            <a:xfrm>
              <a:off x="1295399" y="1657349"/>
              <a:ext cx="35311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26</a:t>
              </a:r>
            </a:p>
          </xdr:txBody>
        </xdr:sp>
      </xdr:grpSp>
    </xdr:grpSp>
    <xdr:clientData/>
  </xdr:twoCellAnchor>
  <xdr:twoCellAnchor>
    <xdr:from>
      <xdr:col>12</xdr:col>
      <xdr:colOff>477145</xdr:colOff>
      <xdr:row>22</xdr:row>
      <xdr:rowOff>142874</xdr:rowOff>
    </xdr:from>
    <xdr:to>
      <xdr:col>13</xdr:col>
      <xdr:colOff>84931</xdr:colOff>
      <xdr:row>25</xdr:row>
      <xdr:rowOff>131795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CEE23DA3-41F4-4B2F-8670-842E62CA44A5}"/>
            </a:ext>
          </a:extLst>
        </xdr:cNvPr>
        <xdr:cNvGrpSpPr/>
      </xdr:nvGrpSpPr>
      <xdr:grpSpPr>
        <a:xfrm>
          <a:off x="7792345" y="4343399"/>
          <a:ext cx="217386" cy="531846"/>
          <a:chOff x="1304924" y="1639958"/>
          <a:chExt cx="372167" cy="534227"/>
        </a:xfrm>
      </xdr:grpSpPr>
      <xdr:sp macro="" textlink="">
        <xdr:nvSpPr>
          <xdr:cNvPr id="74" name="Hexagon 73">
            <a:extLst>
              <a:ext uri="{FF2B5EF4-FFF2-40B4-BE49-F238E27FC236}">
                <a16:creationId xmlns:a16="http://schemas.microsoft.com/office/drawing/2014/main" id="{9EACA749-A318-0D52-05FF-0A398B7D618D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BE051EA2-537D-7E22-A08C-2B9312579345}"/>
              </a:ext>
            </a:extLst>
          </xdr:cNvPr>
          <xdr:cNvGrpSpPr/>
        </xdr:nvGrpSpPr>
        <xdr:grpSpPr>
          <a:xfrm>
            <a:off x="1304924" y="1657349"/>
            <a:ext cx="372167" cy="516836"/>
            <a:chOff x="1304924" y="1657349"/>
            <a:chExt cx="372167" cy="516836"/>
          </a:xfrm>
        </xdr:grpSpPr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FA359A6E-ED67-E92E-7421-E10CBDD1E08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7BBCD24C-15FE-C776-8FBA-F275C1C86943}"/>
                </a:ext>
              </a:extLst>
            </xdr:cNvPr>
            <xdr:cNvSpPr txBox="1"/>
          </xdr:nvSpPr>
          <xdr:spPr>
            <a:xfrm>
              <a:off x="1304924" y="1657349"/>
              <a:ext cx="372167" cy="2526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30</a:t>
              </a:r>
            </a:p>
          </xdr:txBody>
        </xdr:sp>
      </xdr:grpSp>
    </xdr:grpSp>
    <xdr:clientData/>
  </xdr:twoCellAnchor>
  <xdr:twoCellAnchor>
    <xdr:from>
      <xdr:col>22</xdr:col>
      <xdr:colOff>387350</xdr:colOff>
      <xdr:row>9</xdr:row>
      <xdr:rowOff>-1</xdr:rowOff>
    </xdr:from>
    <xdr:to>
      <xdr:col>22</xdr:col>
      <xdr:colOff>387350</xdr:colOff>
      <xdr:row>13</xdr:row>
      <xdr:rowOff>11906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CB8D522D-7958-44E3-BE0C-1942DE443DE2}"/>
            </a:ext>
          </a:extLst>
        </xdr:cNvPr>
        <xdr:cNvCxnSpPr/>
      </xdr:nvCxnSpPr>
      <xdr:spPr>
        <a:xfrm flipV="1">
          <a:off x="13798550" y="1879599"/>
          <a:ext cx="0" cy="74850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58047</xdr:colOff>
      <xdr:row>6</xdr:row>
      <xdr:rowOff>73818</xdr:rowOff>
    </xdr:from>
    <xdr:to>
      <xdr:col>21</xdr:col>
      <xdr:colOff>402432</xdr:colOff>
      <xdr:row>9</xdr:row>
      <xdr:rowOff>4795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701504AD-38C3-4B01-81F1-4D6B405103C1}"/>
            </a:ext>
          </a:extLst>
        </xdr:cNvPr>
        <xdr:cNvGrpSpPr/>
      </xdr:nvGrpSpPr>
      <xdr:grpSpPr>
        <a:xfrm>
          <a:off x="12859647" y="1378743"/>
          <a:ext cx="344385" cy="473902"/>
          <a:chOff x="1295399" y="1639958"/>
          <a:chExt cx="346767" cy="534227"/>
        </a:xfrm>
      </xdr:grpSpPr>
      <xdr:sp macro="" textlink="">
        <xdr:nvSpPr>
          <xdr:cNvPr id="80" name="Hexagon 79">
            <a:extLst>
              <a:ext uri="{FF2B5EF4-FFF2-40B4-BE49-F238E27FC236}">
                <a16:creationId xmlns:a16="http://schemas.microsoft.com/office/drawing/2014/main" id="{16C34CA2-C0D2-ABAA-3D80-841AB5DA502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DF85A2EE-FE27-A719-378A-D7DA270AC148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82" name="Straight Connector 81">
              <a:extLst>
                <a:ext uri="{FF2B5EF4-FFF2-40B4-BE49-F238E27FC236}">
                  <a16:creationId xmlns:a16="http://schemas.microsoft.com/office/drawing/2014/main" id="{EB289A36-9E27-831A-4D86-5C9BFFF24C2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5FCC2DCF-618C-04F3-0648-BCCEB9574FBB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22</a:t>
              </a:r>
            </a:p>
          </xdr:txBody>
        </xdr:sp>
      </xdr:grpSp>
    </xdr:grpSp>
    <xdr:clientData/>
  </xdr:twoCellAnchor>
  <xdr:twoCellAnchor>
    <xdr:from>
      <xdr:col>21</xdr:col>
      <xdr:colOff>226321</xdr:colOff>
      <xdr:row>16</xdr:row>
      <xdr:rowOff>113506</xdr:rowOff>
    </xdr:from>
    <xdr:to>
      <xdr:col>21</xdr:col>
      <xdr:colOff>573881</xdr:colOff>
      <xdr:row>19</xdr:row>
      <xdr:rowOff>76233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51956AE3-B76F-495C-BE5F-823A53CD1018}"/>
            </a:ext>
          </a:extLst>
        </xdr:cNvPr>
        <xdr:cNvGrpSpPr/>
      </xdr:nvGrpSpPr>
      <xdr:grpSpPr>
        <a:xfrm>
          <a:off x="13027921" y="3228181"/>
          <a:ext cx="347560" cy="505652"/>
          <a:chOff x="1304924" y="1639958"/>
          <a:chExt cx="349942" cy="534227"/>
        </a:xfrm>
      </xdr:grpSpPr>
      <xdr:sp macro="" textlink="">
        <xdr:nvSpPr>
          <xdr:cNvPr id="85" name="Hexagon 84">
            <a:extLst>
              <a:ext uri="{FF2B5EF4-FFF2-40B4-BE49-F238E27FC236}">
                <a16:creationId xmlns:a16="http://schemas.microsoft.com/office/drawing/2014/main" id="{183E45FE-A889-63F0-AC9B-BBE8555BB98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4027F0F7-0797-8CA9-0AE1-625E896E2FB2}"/>
              </a:ext>
            </a:extLst>
          </xdr:cNvPr>
          <xdr:cNvGrpSpPr/>
        </xdr:nvGrpSpPr>
        <xdr:grpSpPr>
          <a:xfrm>
            <a:off x="1304924" y="1666874"/>
            <a:ext cx="349942" cy="507311"/>
            <a:chOff x="1304924" y="1666874"/>
            <a:chExt cx="349942" cy="507311"/>
          </a:xfrm>
        </xdr:grpSpPr>
        <xdr:cxnSp macro="">
          <xdr:nvCxnSpPr>
            <xdr:cNvPr id="87" name="Straight Connector 86">
              <a:extLst>
                <a:ext uri="{FF2B5EF4-FFF2-40B4-BE49-F238E27FC236}">
                  <a16:creationId xmlns:a16="http://schemas.microsoft.com/office/drawing/2014/main" id="{A4A2D579-BE48-FE7A-AA41-953501416E4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0E1E6EF1-4F1D-C3EA-97BE-3F003D0CB7A0}"/>
                </a:ext>
              </a:extLst>
            </xdr:cNvPr>
            <xdr:cNvSpPr txBox="1"/>
          </xdr:nvSpPr>
          <xdr:spPr>
            <a:xfrm>
              <a:off x="1304924" y="1666874"/>
              <a:ext cx="34994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8</a:t>
              </a:r>
            </a:p>
          </xdr:txBody>
        </xdr:sp>
      </xdr:grpSp>
    </xdr:grpSp>
    <xdr:clientData/>
  </xdr:twoCellAnchor>
  <xdr:twoCellAnchor>
    <xdr:from>
      <xdr:col>22</xdr:col>
      <xdr:colOff>125514</xdr:colOff>
      <xdr:row>19</xdr:row>
      <xdr:rowOff>106364</xdr:rowOff>
    </xdr:from>
    <xdr:to>
      <xdr:col>22</xdr:col>
      <xdr:colOff>450056</xdr:colOff>
      <xdr:row>22</xdr:row>
      <xdr:rowOff>59532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796FBD7E-8B9F-4AAE-B005-779E2C47AB09}"/>
            </a:ext>
          </a:extLst>
        </xdr:cNvPr>
        <xdr:cNvGrpSpPr/>
      </xdr:nvGrpSpPr>
      <xdr:grpSpPr>
        <a:xfrm>
          <a:off x="13536714" y="3763964"/>
          <a:ext cx="324542" cy="496093"/>
          <a:chOff x="1304924" y="1639958"/>
          <a:chExt cx="324542" cy="534227"/>
        </a:xfrm>
      </xdr:grpSpPr>
      <xdr:sp macro="" textlink="">
        <xdr:nvSpPr>
          <xdr:cNvPr id="90" name="Hexagon 89">
            <a:extLst>
              <a:ext uri="{FF2B5EF4-FFF2-40B4-BE49-F238E27FC236}">
                <a16:creationId xmlns:a16="http://schemas.microsoft.com/office/drawing/2014/main" id="{1482A626-675A-4C89-073B-0786899D600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AA42F57A-3C57-196A-6CC4-9F844CC7F02F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92" name="Straight Connector 91">
              <a:extLst>
                <a:ext uri="{FF2B5EF4-FFF2-40B4-BE49-F238E27FC236}">
                  <a16:creationId xmlns:a16="http://schemas.microsoft.com/office/drawing/2014/main" id="{7ECF643A-BC22-A450-2E15-B64A1FD9A59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AAC12253-C4A0-368F-6760-7EFA2541E89F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16</a:t>
              </a:r>
            </a:p>
          </xdr:txBody>
        </xdr:sp>
      </xdr:grpSp>
    </xdr:grpSp>
    <xdr:clientData/>
  </xdr:twoCellAnchor>
  <xdr:twoCellAnchor>
    <xdr:from>
      <xdr:col>26</xdr:col>
      <xdr:colOff>395562</xdr:colOff>
      <xdr:row>12</xdr:row>
      <xdr:rowOff>11905</xdr:rowOff>
    </xdr:from>
    <xdr:to>
      <xdr:col>27</xdr:col>
      <xdr:colOff>45250</xdr:colOff>
      <xdr:row>15</xdr:row>
      <xdr:rowOff>1303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6D982544-D166-4D74-8CE5-EEB800A0D60E}"/>
            </a:ext>
          </a:extLst>
        </xdr:cNvPr>
        <xdr:cNvGrpSpPr/>
      </xdr:nvGrpSpPr>
      <xdr:grpSpPr>
        <a:xfrm>
          <a:off x="16245162" y="2402680"/>
          <a:ext cx="259288" cy="532323"/>
          <a:chOff x="1327841" y="1639958"/>
          <a:chExt cx="389151" cy="534227"/>
        </a:xfrm>
      </xdr:grpSpPr>
      <xdr:sp macro="" textlink="">
        <xdr:nvSpPr>
          <xdr:cNvPr id="95" name="Hexagon 94">
            <a:extLst>
              <a:ext uri="{FF2B5EF4-FFF2-40B4-BE49-F238E27FC236}">
                <a16:creationId xmlns:a16="http://schemas.microsoft.com/office/drawing/2014/main" id="{42A0608C-DF69-8567-44C9-E4E5EA48C77A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6" name="Group 95">
            <a:extLst>
              <a:ext uri="{FF2B5EF4-FFF2-40B4-BE49-F238E27FC236}">
                <a16:creationId xmlns:a16="http://schemas.microsoft.com/office/drawing/2014/main" id="{C081B2BB-1FB1-0E77-4EA6-433E316CB2A1}"/>
              </a:ext>
            </a:extLst>
          </xdr:cNvPr>
          <xdr:cNvGrpSpPr/>
        </xdr:nvGrpSpPr>
        <xdr:grpSpPr>
          <a:xfrm>
            <a:off x="1330682" y="1660212"/>
            <a:ext cx="386310" cy="513973"/>
            <a:chOff x="1330682" y="1660212"/>
            <a:chExt cx="386310" cy="513973"/>
          </a:xfrm>
        </xdr:grpSpPr>
        <xdr:cxnSp macro="">
          <xdr:nvCxnSpPr>
            <xdr:cNvPr id="97" name="Straight Connector 96">
              <a:extLst>
                <a:ext uri="{FF2B5EF4-FFF2-40B4-BE49-F238E27FC236}">
                  <a16:creationId xmlns:a16="http://schemas.microsoft.com/office/drawing/2014/main" id="{BC69CA84-2BBA-9C11-D504-FE9253814DFA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DC7F173D-95E1-CB06-81A4-56628FC7C439}"/>
                </a:ext>
              </a:extLst>
            </xdr:cNvPr>
            <xdr:cNvSpPr txBox="1"/>
          </xdr:nvSpPr>
          <xdr:spPr>
            <a:xfrm>
              <a:off x="1330682" y="1660212"/>
              <a:ext cx="386310" cy="2384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9</a:t>
              </a:r>
            </a:p>
          </xdr:txBody>
        </xdr:sp>
      </xdr:grpSp>
    </xdr:grpSp>
    <xdr:clientData/>
  </xdr:twoCellAnchor>
  <xdr:twoCellAnchor>
    <xdr:from>
      <xdr:col>26</xdr:col>
      <xdr:colOff>365053</xdr:colOff>
      <xdr:row>16</xdr:row>
      <xdr:rowOff>114299</xdr:rowOff>
    </xdr:from>
    <xdr:to>
      <xdr:col>26</xdr:col>
      <xdr:colOff>607222</xdr:colOff>
      <xdr:row>19</xdr:row>
      <xdr:rowOff>77026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9DE8CE07-FD73-4B5E-892C-4AE59CE13841}"/>
            </a:ext>
          </a:extLst>
        </xdr:cNvPr>
        <xdr:cNvGrpSpPr/>
      </xdr:nvGrpSpPr>
      <xdr:grpSpPr>
        <a:xfrm>
          <a:off x="16214653" y="3228974"/>
          <a:ext cx="242169" cy="505652"/>
          <a:chOff x="1314117" y="1639958"/>
          <a:chExt cx="350980" cy="534227"/>
        </a:xfrm>
      </xdr:grpSpPr>
      <xdr:sp macro="" textlink="">
        <xdr:nvSpPr>
          <xdr:cNvPr id="100" name="Hexagon 99">
            <a:extLst>
              <a:ext uri="{FF2B5EF4-FFF2-40B4-BE49-F238E27FC236}">
                <a16:creationId xmlns:a16="http://schemas.microsoft.com/office/drawing/2014/main" id="{755A1FEE-D10E-9E7F-09C1-42EE1658DE0F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D8FB50F4-CE2A-C79A-3223-F3F5A5A08EBC}"/>
              </a:ext>
            </a:extLst>
          </xdr:cNvPr>
          <xdr:cNvGrpSpPr/>
        </xdr:nvGrpSpPr>
        <xdr:grpSpPr>
          <a:xfrm>
            <a:off x="1314117" y="1666874"/>
            <a:ext cx="350980" cy="507311"/>
            <a:chOff x="1314117" y="1666874"/>
            <a:chExt cx="350980" cy="507311"/>
          </a:xfrm>
        </xdr:grpSpPr>
        <xdr:cxnSp macro="">
          <xdr:nvCxnSpPr>
            <xdr:cNvPr id="102" name="Straight Connector 101">
              <a:extLst>
                <a:ext uri="{FF2B5EF4-FFF2-40B4-BE49-F238E27FC236}">
                  <a16:creationId xmlns:a16="http://schemas.microsoft.com/office/drawing/2014/main" id="{E1D502F5-B08B-8411-99B8-D488E4EEFE8A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5894B021-7C71-E93A-0F90-0C10DA8B5070}"/>
                </a:ext>
              </a:extLst>
            </xdr:cNvPr>
            <xdr:cNvSpPr txBox="1"/>
          </xdr:nvSpPr>
          <xdr:spPr>
            <a:xfrm>
              <a:off x="1314117" y="1666874"/>
              <a:ext cx="350980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10</a:t>
              </a:r>
            </a:p>
          </xdr:txBody>
        </xdr:sp>
      </xdr:grpSp>
    </xdr:grpSp>
    <xdr:clientData/>
  </xdr:twoCellAnchor>
  <xdr:twoCellAnchor>
    <xdr:from>
      <xdr:col>30</xdr:col>
      <xdr:colOff>232670</xdr:colOff>
      <xdr:row>24</xdr:row>
      <xdr:rowOff>8731</xdr:rowOff>
    </xdr:from>
    <xdr:to>
      <xdr:col>30</xdr:col>
      <xdr:colOff>566737</xdr:colOff>
      <xdr:row>26</xdr:row>
      <xdr:rowOff>161958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47CE6E86-26CA-4E06-984F-81B386E12037}"/>
            </a:ext>
          </a:extLst>
        </xdr:cNvPr>
        <xdr:cNvGrpSpPr/>
      </xdr:nvGrpSpPr>
      <xdr:grpSpPr>
        <a:xfrm>
          <a:off x="18520670" y="4571206"/>
          <a:ext cx="334067" cy="515177"/>
          <a:chOff x="1314449" y="1639958"/>
          <a:chExt cx="334067" cy="534227"/>
        </a:xfrm>
      </xdr:grpSpPr>
      <xdr:sp macro="" textlink="">
        <xdr:nvSpPr>
          <xdr:cNvPr id="105" name="Hexagon 104">
            <a:extLst>
              <a:ext uri="{FF2B5EF4-FFF2-40B4-BE49-F238E27FC236}">
                <a16:creationId xmlns:a16="http://schemas.microsoft.com/office/drawing/2014/main" id="{3A1B626F-32FF-49AD-EF80-7D56BA286CEE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52FFC4D1-3E11-602C-43DD-DCC086134112}"/>
              </a:ext>
            </a:extLst>
          </xdr:cNvPr>
          <xdr:cNvGrpSpPr/>
        </xdr:nvGrpSpPr>
        <xdr:grpSpPr>
          <a:xfrm>
            <a:off x="1314449" y="1666874"/>
            <a:ext cx="334067" cy="507311"/>
            <a:chOff x="1314449" y="1666874"/>
            <a:chExt cx="334067" cy="507311"/>
          </a:xfrm>
        </xdr:grpSpPr>
        <xdr:cxnSp macro="">
          <xdr:nvCxnSpPr>
            <xdr:cNvPr id="107" name="Straight Connector 106">
              <a:extLst>
                <a:ext uri="{FF2B5EF4-FFF2-40B4-BE49-F238E27FC236}">
                  <a16:creationId xmlns:a16="http://schemas.microsoft.com/office/drawing/2014/main" id="{876A5A49-FD25-D3AA-2B0C-7D0EEF902AA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C316426F-A785-3D6A-907F-B340F891D3EE}"/>
                </a:ext>
              </a:extLst>
            </xdr:cNvPr>
            <xdr:cNvSpPr txBox="1"/>
          </xdr:nvSpPr>
          <xdr:spPr>
            <a:xfrm>
              <a:off x="1314449" y="1666874"/>
              <a:ext cx="33406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14</a:t>
              </a:r>
            </a:p>
          </xdr:txBody>
        </xdr:sp>
      </xdr:grpSp>
    </xdr:grpSp>
    <xdr:clientData/>
  </xdr:twoCellAnchor>
  <xdr:twoCellAnchor>
    <xdr:from>
      <xdr:col>32</xdr:col>
      <xdr:colOff>261937</xdr:colOff>
      <xdr:row>20</xdr:row>
      <xdr:rowOff>23813</xdr:rowOff>
    </xdr:from>
    <xdr:to>
      <xdr:col>33</xdr:col>
      <xdr:colOff>0</xdr:colOff>
      <xdr:row>23</xdr:row>
      <xdr:rowOff>18291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1F28F0B8-F477-4DF5-B8A4-6222B8F59DA0}"/>
            </a:ext>
          </a:extLst>
        </xdr:cNvPr>
        <xdr:cNvGrpSpPr/>
      </xdr:nvGrpSpPr>
      <xdr:grpSpPr>
        <a:xfrm>
          <a:off x="19769137" y="3862388"/>
          <a:ext cx="347663" cy="537403"/>
          <a:chOff x="1318316" y="1639958"/>
          <a:chExt cx="400050" cy="534227"/>
        </a:xfrm>
      </xdr:grpSpPr>
      <xdr:sp macro="" textlink="">
        <xdr:nvSpPr>
          <xdr:cNvPr id="110" name="Hexagon 109">
            <a:extLst>
              <a:ext uri="{FF2B5EF4-FFF2-40B4-BE49-F238E27FC236}">
                <a16:creationId xmlns:a16="http://schemas.microsoft.com/office/drawing/2014/main" id="{9FD0FB2B-4F88-B326-C260-033B3DD9B38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EEBBC51A-5E27-3761-A80A-88C84872E387}"/>
              </a:ext>
            </a:extLst>
          </xdr:cNvPr>
          <xdr:cNvGrpSpPr/>
        </xdr:nvGrpSpPr>
        <xdr:grpSpPr>
          <a:xfrm>
            <a:off x="1318316" y="1680450"/>
            <a:ext cx="400050" cy="493735"/>
            <a:chOff x="1318316" y="1680450"/>
            <a:chExt cx="400050" cy="493735"/>
          </a:xfrm>
        </xdr:grpSpPr>
        <xdr:cxnSp macro="">
          <xdr:nvCxnSpPr>
            <xdr:cNvPr id="112" name="Straight Connector 111">
              <a:extLst>
                <a:ext uri="{FF2B5EF4-FFF2-40B4-BE49-F238E27FC236}">
                  <a16:creationId xmlns:a16="http://schemas.microsoft.com/office/drawing/2014/main" id="{B6C91CF2-7575-AC16-9D6E-5FB85E00E06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478AAF74-CEAB-58A1-EB76-3570B09AA8C1}"/>
                </a:ext>
              </a:extLst>
            </xdr:cNvPr>
            <xdr:cNvSpPr txBox="1"/>
          </xdr:nvSpPr>
          <xdr:spPr>
            <a:xfrm>
              <a:off x="1318316" y="1680450"/>
              <a:ext cx="400050" cy="2082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15</a:t>
              </a:r>
            </a:p>
          </xdr:txBody>
        </xdr:sp>
      </xdr:grpSp>
    </xdr:grpSp>
    <xdr:clientData/>
  </xdr:twoCellAnchor>
  <xdr:twoCellAnchor>
    <xdr:from>
      <xdr:col>33</xdr:col>
      <xdr:colOff>91383</xdr:colOff>
      <xdr:row>14</xdr:row>
      <xdr:rowOff>69850</xdr:rowOff>
    </xdr:from>
    <xdr:to>
      <xdr:col>33</xdr:col>
      <xdr:colOff>419100</xdr:colOff>
      <xdr:row>17</xdr:row>
      <xdr:rowOff>827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E06720F2-2D04-4576-A213-2BE9BFE108A6}"/>
            </a:ext>
          </a:extLst>
        </xdr:cNvPr>
        <xdr:cNvGrpSpPr/>
      </xdr:nvGrpSpPr>
      <xdr:grpSpPr>
        <a:xfrm>
          <a:off x="20208183" y="2822575"/>
          <a:ext cx="327717" cy="473902"/>
          <a:chOff x="1323974" y="1639958"/>
          <a:chExt cx="327717" cy="534227"/>
        </a:xfrm>
      </xdr:grpSpPr>
      <xdr:sp macro="" textlink="">
        <xdr:nvSpPr>
          <xdr:cNvPr id="115" name="Hexagon 114">
            <a:extLst>
              <a:ext uri="{FF2B5EF4-FFF2-40B4-BE49-F238E27FC236}">
                <a16:creationId xmlns:a16="http://schemas.microsoft.com/office/drawing/2014/main" id="{6B7419E7-C0BB-04DE-AA4D-011710B4F00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6" name="Group 115">
            <a:extLst>
              <a:ext uri="{FF2B5EF4-FFF2-40B4-BE49-F238E27FC236}">
                <a16:creationId xmlns:a16="http://schemas.microsoft.com/office/drawing/2014/main" id="{D354F4A4-EEB8-9268-1A21-0DB9349CE473}"/>
              </a:ext>
            </a:extLst>
          </xdr:cNvPr>
          <xdr:cNvGrpSpPr/>
        </xdr:nvGrpSpPr>
        <xdr:grpSpPr>
          <a:xfrm>
            <a:off x="1323974" y="1663587"/>
            <a:ext cx="327717" cy="510598"/>
            <a:chOff x="1323974" y="1663587"/>
            <a:chExt cx="327717" cy="510598"/>
          </a:xfrm>
        </xdr:grpSpPr>
        <xdr:cxnSp macro="">
          <xdr:nvCxnSpPr>
            <xdr:cNvPr id="117" name="Straight Connector 116">
              <a:extLst>
                <a:ext uri="{FF2B5EF4-FFF2-40B4-BE49-F238E27FC236}">
                  <a16:creationId xmlns:a16="http://schemas.microsoft.com/office/drawing/2014/main" id="{3E784205-E571-FB91-B1D8-03CAB0F84CF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6B07F940-49DB-FCBB-7AC6-DDFCC32C122C}"/>
                </a:ext>
              </a:extLst>
            </xdr:cNvPr>
            <xdr:cNvSpPr txBox="1"/>
          </xdr:nvSpPr>
          <xdr:spPr>
            <a:xfrm>
              <a:off x="1323974" y="1663587"/>
              <a:ext cx="327717" cy="224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12</a:t>
              </a:r>
            </a:p>
          </xdr:txBody>
        </xdr:sp>
      </xdr:grpSp>
    </xdr:grpSp>
    <xdr:clientData/>
  </xdr:twoCellAnchor>
  <xdr:twoCellAnchor>
    <xdr:from>
      <xdr:col>27</xdr:col>
      <xdr:colOff>362846</xdr:colOff>
      <xdr:row>24</xdr:row>
      <xdr:rowOff>41275</xdr:rowOff>
    </xdr:from>
    <xdr:to>
      <xdr:col>28</xdr:col>
      <xdr:colOff>111919</xdr:colOff>
      <xdr:row>27</xdr:row>
      <xdr:rowOff>4002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FA2A0F1D-C486-44CC-87DD-6DDFB2D5151A}"/>
            </a:ext>
          </a:extLst>
        </xdr:cNvPr>
        <xdr:cNvGrpSpPr/>
      </xdr:nvGrpSpPr>
      <xdr:grpSpPr>
        <a:xfrm>
          <a:off x="16822046" y="4603750"/>
          <a:ext cx="358673" cy="505652"/>
          <a:chOff x="1323974" y="1639958"/>
          <a:chExt cx="356292" cy="534227"/>
        </a:xfrm>
      </xdr:grpSpPr>
      <xdr:sp macro="" textlink="">
        <xdr:nvSpPr>
          <xdr:cNvPr id="120" name="Hexagon 119">
            <a:extLst>
              <a:ext uri="{FF2B5EF4-FFF2-40B4-BE49-F238E27FC236}">
                <a16:creationId xmlns:a16="http://schemas.microsoft.com/office/drawing/2014/main" id="{AF4F55A1-8714-A7DE-C0C8-606E402B464D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4C27F418-7FAF-160E-7B0A-2F4D89CCD209}"/>
              </a:ext>
            </a:extLst>
          </xdr:cNvPr>
          <xdr:cNvGrpSpPr/>
        </xdr:nvGrpSpPr>
        <xdr:grpSpPr>
          <a:xfrm>
            <a:off x="1323974" y="1657349"/>
            <a:ext cx="356292" cy="516836"/>
            <a:chOff x="1323974" y="1657349"/>
            <a:chExt cx="356292" cy="516836"/>
          </a:xfrm>
        </xdr:grpSpPr>
        <xdr:cxnSp macro="">
          <xdr:nvCxnSpPr>
            <xdr:cNvPr id="122" name="Straight Connector 121">
              <a:extLst>
                <a:ext uri="{FF2B5EF4-FFF2-40B4-BE49-F238E27FC236}">
                  <a16:creationId xmlns:a16="http://schemas.microsoft.com/office/drawing/2014/main" id="{88434369-63A7-597F-27A8-2A3052DBA6A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C6FD5864-5686-CC8F-C4C8-3AF692BDF8EE}"/>
                </a:ext>
              </a:extLst>
            </xdr:cNvPr>
            <xdr:cNvSpPr txBox="1"/>
          </xdr:nvSpPr>
          <xdr:spPr>
            <a:xfrm>
              <a:off x="1323974" y="1657349"/>
              <a:ext cx="35629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13</a:t>
              </a:r>
            </a:p>
          </xdr:txBody>
        </xdr:sp>
      </xdr:grpSp>
    </xdr:grpSp>
    <xdr:clientData/>
  </xdr:twoCellAnchor>
  <xdr:twoCellAnchor>
    <xdr:from>
      <xdr:col>27</xdr:col>
      <xdr:colOff>158057</xdr:colOff>
      <xdr:row>14</xdr:row>
      <xdr:rowOff>89694</xdr:rowOff>
    </xdr:from>
    <xdr:to>
      <xdr:col>27</xdr:col>
      <xdr:colOff>546099</xdr:colOff>
      <xdr:row>17</xdr:row>
      <xdr:rowOff>20671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7B55FD74-1802-4412-88A9-890DB8BFF91A}"/>
            </a:ext>
          </a:extLst>
        </xdr:cNvPr>
        <xdr:cNvGrpSpPr/>
      </xdr:nvGrpSpPr>
      <xdr:grpSpPr>
        <a:xfrm>
          <a:off x="16617257" y="2842419"/>
          <a:ext cx="388042" cy="473902"/>
          <a:chOff x="1295399" y="1639958"/>
          <a:chExt cx="391876" cy="534227"/>
        </a:xfrm>
      </xdr:grpSpPr>
      <xdr:sp macro="" textlink="">
        <xdr:nvSpPr>
          <xdr:cNvPr id="125" name="Hexagon 124">
            <a:extLst>
              <a:ext uri="{FF2B5EF4-FFF2-40B4-BE49-F238E27FC236}">
                <a16:creationId xmlns:a16="http://schemas.microsoft.com/office/drawing/2014/main" id="{AE862624-C459-F6F5-FC2A-88A9A764ACB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6" name="Group 125">
            <a:extLst>
              <a:ext uri="{FF2B5EF4-FFF2-40B4-BE49-F238E27FC236}">
                <a16:creationId xmlns:a16="http://schemas.microsoft.com/office/drawing/2014/main" id="{88F4CDD9-EE24-744E-CE10-4D3DFB96DBA2}"/>
              </a:ext>
            </a:extLst>
          </xdr:cNvPr>
          <xdr:cNvGrpSpPr/>
        </xdr:nvGrpSpPr>
        <xdr:grpSpPr>
          <a:xfrm>
            <a:off x="1295399" y="1663589"/>
            <a:ext cx="391876" cy="510596"/>
            <a:chOff x="1295399" y="1663589"/>
            <a:chExt cx="391876" cy="510596"/>
          </a:xfrm>
        </xdr:grpSpPr>
        <xdr:cxnSp macro="">
          <xdr:nvCxnSpPr>
            <xdr:cNvPr id="127" name="Straight Connector 126">
              <a:extLst>
                <a:ext uri="{FF2B5EF4-FFF2-40B4-BE49-F238E27FC236}">
                  <a16:creationId xmlns:a16="http://schemas.microsoft.com/office/drawing/2014/main" id="{6AEFFAAD-DF04-B85D-E29F-C1D5B17F7A2F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7AF319FD-5632-8DC9-4F73-C9C895CD8AF0}"/>
                </a:ext>
              </a:extLst>
            </xdr:cNvPr>
            <xdr:cNvSpPr txBox="1"/>
          </xdr:nvSpPr>
          <xdr:spPr>
            <a:xfrm>
              <a:off x="1295399" y="1663589"/>
              <a:ext cx="391876" cy="2329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11</a:t>
              </a:r>
            </a:p>
          </xdr:txBody>
        </xdr:sp>
      </xdr:grpSp>
    </xdr:grpSp>
    <xdr:clientData/>
  </xdr:twoCellAnchor>
  <xdr:twoCellAnchor>
    <xdr:from>
      <xdr:col>15</xdr:col>
      <xdr:colOff>380308</xdr:colOff>
      <xdr:row>22</xdr:row>
      <xdr:rowOff>178593</xdr:rowOff>
    </xdr:from>
    <xdr:to>
      <xdr:col>16</xdr:col>
      <xdr:colOff>1270</xdr:colOff>
      <xdr:row>25</xdr:row>
      <xdr:rowOff>129414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0FCA27FD-FE16-466E-82D5-3F2E7616C0A2}"/>
            </a:ext>
          </a:extLst>
        </xdr:cNvPr>
        <xdr:cNvGrpSpPr/>
      </xdr:nvGrpSpPr>
      <xdr:grpSpPr>
        <a:xfrm>
          <a:off x="9524308" y="4379118"/>
          <a:ext cx="230562" cy="493746"/>
          <a:chOff x="1304924" y="1639958"/>
          <a:chExt cx="375342" cy="534227"/>
        </a:xfrm>
      </xdr:grpSpPr>
      <xdr:sp macro="" textlink="">
        <xdr:nvSpPr>
          <xdr:cNvPr id="130" name="Hexagon 129">
            <a:extLst>
              <a:ext uri="{FF2B5EF4-FFF2-40B4-BE49-F238E27FC236}">
                <a16:creationId xmlns:a16="http://schemas.microsoft.com/office/drawing/2014/main" id="{6B4AE319-025F-BF59-94F0-4ED63ACC012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1" name="Group 130">
            <a:extLst>
              <a:ext uri="{FF2B5EF4-FFF2-40B4-BE49-F238E27FC236}">
                <a16:creationId xmlns:a16="http://schemas.microsoft.com/office/drawing/2014/main" id="{DF3D3918-B0EA-1044-EF70-4C5C40751FB1}"/>
              </a:ext>
            </a:extLst>
          </xdr:cNvPr>
          <xdr:cNvGrpSpPr/>
        </xdr:nvGrpSpPr>
        <xdr:grpSpPr>
          <a:xfrm>
            <a:off x="1304924" y="1647163"/>
            <a:ext cx="375342" cy="527022"/>
            <a:chOff x="1304924" y="1647163"/>
            <a:chExt cx="375342" cy="527022"/>
          </a:xfrm>
        </xdr:grpSpPr>
        <xdr:cxnSp macro="">
          <xdr:nvCxnSpPr>
            <xdr:cNvPr id="132" name="Straight Connector 131">
              <a:extLst>
                <a:ext uri="{FF2B5EF4-FFF2-40B4-BE49-F238E27FC236}">
                  <a16:creationId xmlns:a16="http://schemas.microsoft.com/office/drawing/2014/main" id="{EDB4726D-CE4B-A916-3231-47396B3F826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F34926FD-7C32-C790-456B-07627E1DA5B9}"/>
                </a:ext>
              </a:extLst>
            </xdr:cNvPr>
            <xdr:cNvSpPr txBox="1"/>
          </xdr:nvSpPr>
          <xdr:spPr>
            <a:xfrm>
              <a:off x="1304924" y="1647163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29</a:t>
              </a:r>
            </a:p>
          </xdr:txBody>
        </xdr:sp>
      </xdr:grpSp>
    </xdr:grpSp>
    <xdr:clientData/>
  </xdr:twoCellAnchor>
  <xdr:twoCellAnchor>
    <xdr:from>
      <xdr:col>2</xdr:col>
      <xdr:colOff>289015</xdr:colOff>
      <xdr:row>7</xdr:row>
      <xdr:rowOff>179070</xdr:rowOff>
    </xdr:from>
    <xdr:to>
      <xdr:col>3</xdr:col>
      <xdr:colOff>37629</xdr:colOff>
      <xdr:row>10</xdr:row>
      <xdr:rowOff>78297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8B9D208B-4A87-4F36-ADDE-88DB54240754}"/>
            </a:ext>
          </a:extLst>
        </xdr:cNvPr>
        <xdr:cNvGrpSpPr/>
      </xdr:nvGrpSpPr>
      <xdr:grpSpPr>
        <a:xfrm>
          <a:off x="1508215" y="1664970"/>
          <a:ext cx="358214" cy="442152"/>
          <a:chOff x="1304481" y="1639958"/>
          <a:chExt cx="334919" cy="534227"/>
        </a:xfrm>
      </xdr:grpSpPr>
      <xdr:sp macro="" textlink="">
        <xdr:nvSpPr>
          <xdr:cNvPr id="135" name="Hexagon 134">
            <a:extLst>
              <a:ext uri="{FF2B5EF4-FFF2-40B4-BE49-F238E27FC236}">
                <a16:creationId xmlns:a16="http://schemas.microsoft.com/office/drawing/2014/main" id="{ABC6642B-96FA-7BC8-7F7B-6FA50E6972B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C8CA4524-F705-9ABC-E7EB-FE71363CB6F7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137" name="Straight Connector 136">
              <a:extLst>
                <a:ext uri="{FF2B5EF4-FFF2-40B4-BE49-F238E27FC236}">
                  <a16:creationId xmlns:a16="http://schemas.microsoft.com/office/drawing/2014/main" id="{0C5CF93F-10BB-3008-9A3D-2D0A7368CD4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E69C60AC-F443-5AEB-02CA-A17186237220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28</a:t>
              </a:r>
            </a:p>
          </xdr:txBody>
        </xdr:sp>
      </xdr:grpSp>
    </xdr:grpSp>
    <xdr:clientData/>
  </xdr:twoCellAnchor>
  <xdr:twoCellAnchor>
    <xdr:from>
      <xdr:col>3</xdr:col>
      <xdr:colOff>383383</xdr:colOff>
      <xdr:row>14</xdr:row>
      <xdr:rowOff>66675</xdr:rowOff>
    </xdr:from>
    <xdr:to>
      <xdr:col>3</xdr:col>
      <xdr:colOff>607856</xdr:colOff>
      <xdr:row>17</xdr:row>
      <xdr:rowOff>1462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E17B738A-5157-4DFD-BC83-B3A8BCC9AED3}"/>
            </a:ext>
          </a:extLst>
        </xdr:cNvPr>
        <xdr:cNvGrpSpPr/>
      </xdr:nvGrpSpPr>
      <xdr:grpSpPr>
        <a:xfrm>
          <a:off x="2212183" y="2819400"/>
          <a:ext cx="224473" cy="477712"/>
          <a:chOff x="1327841" y="1639958"/>
          <a:chExt cx="276087" cy="534227"/>
        </a:xfrm>
      </xdr:grpSpPr>
      <xdr:sp macro="" textlink="">
        <xdr:nvSpPr>
          <xdr:cNvPr id="140" name="Hexagon 139">
            <a:extLst>
              <a:ext uri="{FF2B5EF4-FFF2-40B4-BE49-F238E27FC236}">
                <a16:creationId xmlns:a16="http://schemas.microsoft.com/office/drawing/2014/main" id="{24B79B2B-A06B-A8F4-28C1-2E62D8F289FE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D406A588-3F58-CD65-11F1-7AAED10A0335}"/>
              </a:ext>
            </a:extLst>
          </xdr:cNvPr>
          <xdr:cNvGrpSpPr/>
        </xdr:nvGrpSpPr>
        <xdr:grpSpPr>
          <a:xfrm>
            <a:off x="1343024" y="1657349"/>
            <a:ext cx="257175" cy="516836"/>
            <a:chOff x="1343024" y="1657349"/>
            <a:chExt cx="257175" cy="516836"/>
          </a:xfrm>
        </xdr:grpSpPr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A01CDDD6-9BAD-F782-F29F-84C5EB48D6C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3D422428-6E34-11DB-2C4E-CD61D113A930}"/>
                </a:ext>
              </a:extLst>
            </xdr:cNvPr>
            <xdr:cNvSpPr txBox="1"/>
          </xdr:nvSpPr>
          <xdr:spPr>
            <a:xfrm>
              <a:off x="1343024" y="1657349"/>
              <a:ext cx="257175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</a:t>
              </a:r>
            </a:p>
          </xdr:txBody>
        </xdr:sp>
      </xdr:grpSp>
    </xdr:grpSp>
    <xdr:clientData/>
  </xdr:twoCellAnchor>
  <xdr:twoCellAnchor>
    <xdr:from>
      <xdr:col>3</xdr:col>
      <xdr:colOff>238125</xdr:colOff>
      <xdr:row>17</xdr:row>
      <xdr:rowOff>2</xdr:rowOff>
    </xdr:from>
    <xdr:to>
      <xdr:col>16</xdr:col>
      <xdr:colOff>7145</xdr:colOff>
      <xdr:row>17</xdr:row>
      <xdr:rowOff>2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1284270-BE79-4FF6-B1CC-D19707DACBCF}"/>
            </a:ext>
          </a:extLst>
        </xdr:cNvPr>
        <xdr:cNvCxnSpPr/>
      </xdr:nvCxnSpPr>
      <xdr:spPr>
        <a:xfrm>
          <a:off x="2066925" y="3352802"/>
          <a:ext cx="769382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383382</xdr:colOff>
      <xdr:row>10</xdr:row>
      <xdr:rowOff>0</xdr:rowOff>
    </xdr:from>
    <xdr:to>
      <xdr:col>19</xdr:col>
      <xdr:colOff>383382</xdr:colOff>
      <xdr:row>12</xdr:row>
      <xdr:rowOff>11906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463B96C0-1B32-4070-AD8A-D7BEDF353D9B}"/>
            </a:ext>
          </a:extLst>
        </xdr:cNvPr>
        <xdr:cNvCxnSpPr/>
      </xdr:nvCxnSpPr>
      <xdr:spPr>
        <a:xfrm>
          <a:off x="11965782" y="2063750"/>
          <a:ext cx="0" cy="380206"/>
        </a:xfrm>
        <a:prstGeom prst="line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14</xdr:row>
      <xdr:rowOff>177800</xdr:rowOff>
    </xdr:from>
    <xdr:to>
      <xdr:col>27</xdr:col>
      <xdr:colOff>12700</xdr:colOff>
      <xdr:row>19</xdr:row>
      <xdr:rowOff>83343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119790C1-9200-4292-BBBA-E6E2CE24D6F6}"/>
            </a:ext>
          </a:extLst>
        </xdr:cNvPr>
        <xdr:cNvCxnSpPr/>
      </xdr:nvCxnSpPr>
      <xdr:spPr>
        <a:xfrm>
          <a:off x="16471900" y="2978150"/>
          <a:ext cx="0" cy="82629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17</xdr:row>
      <xdr:rowOff>25400</xdr:rowOff>
    </xdr:from>
    <xdr:to>
      <xdr:col>29</xdr:col>
      <xdr:colOff>0</xdr:colOff>
      <xdr:row>17</xdr:row>
      <xdr:rowOff>25400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227772A7-EA01-45AE-9A49-303223525A70}"/>
            </a:ext>
          </a:extLst>
        </xdr:cNvPr>
        <xdr:cNvCxnSpPr/>
      </xdr:nvCxnSpPr>
      <xdr:spPr>
        <a:xfrm>
          <a:off x="16471900" y="3378200"/>
          <a:ext cx="1206500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7256</xdr:colOff>
      <xdr:row>4</xdr:row>
      <xdr:rowOff>0</xdr:rowOff>
    </xdr:from>
    <xdr:to>
      <xdr:col>9</xdr:col>
      <xdr:colOff>358734</xdr:colOff>
      <xdr:row>4</xdr:row>
      <xdr:rowOff>84256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2F3A174-397F-4EFC-AE68-F8A3B3FCFF5C}"/>
            </a:ext>
          </a:extLst>
        </xdr:cNvPr>
        <xdr:cNvSpPr txBox="1"/>
      </xdr:nvSpPr>
      <xdr:spPr>
        <a:xfrm>
          <a:off x="5493656" y="958850"/>
          <a:ext cx="351478" cy="842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15</xdr:col>
      <xdr:colOff>329813</xdr:colOff>
      <xdr:row>6</xdr:row>
      <xdr:rowOff>104774</xdr:rowOff>
    </xdr:from>
    <xdr:to>
      <xdr:col>16</xdr:col>
      <xdr:colOff>1592</xdr:colOff>
      <xdr:row>8</xdr:row>
      <xdr:rowOff>179261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769A5E81-622B-49C6-B76F-AD6E70685461}"/>
            </a:ext>
          </a:extLst>
        </xdr:cNvPr>
        <xdr:cNvGrpSpPr/>
      </xdr:nvGrpSpPr>
      <xdr:grpSpPr>
        <a:xfrm>
          <a:off x="9473813" y="1409699"/>
          <a:ext cx="281379" cy="436437"/>
          <a:chOff x="1304481" y="1639958"/>
          <a:chExt cx="334919" cy="534227"/>
        </a:xfrm>
      </xdr:grpSpPr>
      <xdr:sp macro="" textlink="">
        <xdr:nvSpPr>
          <xdr:cNvPr id="150" name="Hexagon 149">
            <a:extLst>
              <a:ext uri="{FF2B5EF4-FFF2-40B4-BE49-F238E27FC236}">
                <a16:creationId xmlns:a16="http://schemas.microsoft.com/office/drawing/2014/main" id="{E9851092-525E-AD62-716B-CCCB52E076E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1" name="Group 150">
            <a:extLst>
              <a:ext uri="{FF2B5EF4-FFF2-40B4-BE49-F238E27FC236}">
                <a16:creationId xmlns:a16="http://schemas.microsoft.com/office/drawing/2014/main" id="{C1DC545E-A32E-7BAB-FB8C-47A126EFA5EE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152" name="Straight Connector 151">
              <a:extLst>
                <a:ext uri="{FF2B5EF4-FFF2-40B4-BE49-F238E27FC236}">
                  <a16:creationId xmlns:a16="http://schemas.microsoft.com/office/drawing/2014/main" id="{BD2759CC-E4E5-9025-B159-3421166E061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06D3CF3-E999-2CBD-F1A6-8398C739BBA7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25</a:t>
              </a:r>
            </a:p>
          </xdr:txBody>
        </xdr:sp>
      </xdr:grpSp>
    </xdr:grpSp>
    <xdr:clientData/>
  </xdr:twoCellAnchor>
  <xdr:twoCellAnchor>
    <xdr:from>
      <xdr:col>30</xdr:col>
      <xdr:colOff>608329</xdr:colOff>
      <xdr:row>6</xdr:row>
      <xdr:rowOff>71438</xdr:rowOff>
    </xdr:from>
    <xdr:to>
      <xdr:col>31</xdr:col>
      <xdr:colOff>197541</xdr:colOff>
      <xdr:row>9</xdr:row>
      <xdr:rowOff>7019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B7058A8A-43F4-447B-B312-EAA24CE475DC}"/>
            </a:ext>
          </a:extLst>
        </xdr:cNvPr>
        <xdr:cNvGrpSpPr/>
      </xdr:nvGrpSpPr>
      <xdr:grpSpPr>
        <a:xfrm>
          <a:off x="18896329" y="1376363"/>
          <a:ext cx="198812" cy="478506"/>
          <a:chOff x="1295399" y="1639958"/>
          <a:chExt cx="353117" cy="534227"/>
        </a:xfrm>
      </xdr:grpSpPr>
      <xdr:sp macro="" textlink="">
        <xdr:nvSpPr>
          <xdr:cNvPr id="155" name="Hexagon 154">
            <a:extLst>
              <a:ext uri="{FF2B5EF4-FFF2-40B4-BE49-F238E27FC236}">
                <a16:creationId xmlns:a16="http://schemas.microsoft.com/office/drawing/2014/main" id="{5AFD8090-3DEC-3E82-F7CD-A3524ACE78C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6" name="Group 155">
            <a:extLst>
              <a:ext uri="{FF2B5EF4-FFF2-40B4-BE49-F238E27FC236}">
                <a16:creationId xmlns:a16="http://schemas.microsoft.com/office/drawing/2014/main" id="{0F8AC9B3-FDE4-9984-034F-2337808A7816}"/>
              </a:ext>
            </a:extLst>
          </xdr:cNvPr>
          <xdr:cNvGrpSpPr/>
        </xdr:nvGrpSpPr>
        <xdr:grpSpPr>
          <a:xfrm>
            <a:off x="1295399" y="1657349"/>
            <a:ext cx="353117" cy="516836"/>
            <a:chOff x="1295399" y="1657349"/>
            <a:chExt cx="353117" cy="516836"/>
          </a:xfrm>
        </xdr:grpSpPr>
        <xdr:cxnSp macro="">
          <xdr:nvCxnSpPr>
            <xdr:cNvPr id="157" name="Straight Connector 156">
              <a:extLst>
                <a:ext uri="{FF2B5EF4-FFF2-40B4-BE49-F238E27FC236}">
                  <a16:creationId xmlns:a16="http://schemas.microsoft.com/office/drawing/2014/main" id="{4B5B6DA8-56EB-95AD-B542-400E868F6101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E085262C-1D3A-1DF6-F0BB-EEA1E7FC9A59}"/>
                </a:ext>
              </a:extLst>
            </xdr:cNvPr>
            <xdr:cNvSpPr txBox="1"/>
          </xdr:nvSpPr>
          <xdr:spPr>
            <a:xfrm>
              <a:off x="1295399" y="1657349"/>
              <a:ext cx="35311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17</a:t>
              </a:r>
            </a:p>
          </xdr:txBody>
        </xdr:sp>
      </xdr:grpSp>
    </xdr:grpSp>
    <xdr:clientData/>
  </xdr:twoCellAnchor>
  <xdr:twoCellAnchor>
    <xdr:from>
      <xdr:col>18</xdr:col>
      <xdr:colOff>523875</xdr:colOff>
      <xdr:row>7</xdr:row>
      <xdr:rowOff>154781</xdr:rowOff>
    </xdr:from>
    <xdr:to>
      <xdr:col>20</xdr:col>
      <xdr:colOff>285751</xdr:colOff>
      <xdr:row>9</xdr:row>
      <xdr:rowOff>178593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6BCA5F51-CF3E-41AF-B876-8D774AF7B3A1}"/>
            </a:ext>
          </a:extLst>
        </xdr:cNvPr>
        <xdr:cNvSpPr/>
      </xdr:nvSpPr>
      <xdr:spPr>
        <a:xfrm>
          <a:off x="11496675" y="1666081"/>
          <a:ext cx="981076" cy="39211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523875</xdr:colOff>
      <xdr:row>7</xdr:row>
      <xdr:rowOff>166687</xdr:rowOff>
    </xdr:from>
    <xdr:to>
      <xdr:col>20</xdr:col>
      <xdr:colOff>285750</xdr:colOff>
      <xdr:row>9</xdr:row>
      <xdr:rowOff>178593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DC2DAE2B-C54C-4A5E-8545-27F6837E3310}"/>
            </a:ext>
          </a:extLst>
        </xdr:cNvPr>
        <xdr:cNvCxnSpPr/>
      </xdr:nvCxnSpPr>
      <xdr:spPr>
        <a:xfrm flipH="1">
          <a:off x="11496675" y="1677987"/>
          <a:ext cx="981075" cy="38020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523874</xdr:colOff>
      <xdr:row>6</xdr:row>
      <xdr:rowOff>71438</xdr:rowOff>
    </xdr:from>
    <xdr:to>
      <xdr:col>20</xdr:col>
      <xdr:colOff>321469</xdr:colOff>
      <xdr:row>7</xdr:row>
      <xdr:rowOff>130969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87615AD6-DEBD-4F45-B086-00BE3CFC3701}"/>
            </a:ext>
          </a:extLst>
        </xdr:cNvPr>
        <xdr:cNvSpPr txBox="1"/>
      </xdr:nvSpPr>
      <xdr:spPr>
        <a:xfrm>
          <a:off x="11496674" y="1398588"/>
          <a:ext cx="1016795" cy="24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Nanofilter</a:t>
          </a:r>
        </a:p>
      </xdr:txBody>
    </xdr:sp>
    <xdr:clientData/>
  </xdr:twoCellAnchor>
  <xdr:twoCellAnchor>
    <xdr:from>
      <xdr:col>19</xdr:col>
      <xdr:colOff>392906</xdr:colOff>
      <xdr:row>12</xdr:row>
      <xdr:rowOff>11904</xdr:rowOff>
    </xdr:from>
    <xdr:to>
      <xdr:col>20</xdr:col>
      <xdr:colOff>154781</xdr:colOff>
      <xdr:row>12</xdr:row>
      <xdr:rowOff>11904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B61E605E-35CF-443D-8D9D-86F2BEA0AABF}"/>
            </a:ext>
          </a:extLst>
        </xdr:cNvPr>
        <xdr:cNvCxnSpPr/>
      </xdr:nvCxnSpPr>
      <xdr:spPr>
        <a:xfrm flipH="1">
          <a:off x="11975306" y="2443954"/>
          <a:ext cx="3714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45017</xdr:colOff>
      <xdr:row>12</xdr:row>
      <xdr:rowOff>35718</xdr:rowOff>
    </xdr:from>
    <xdr:to>
      <xdr:col>21</xdr:col>
      <xdr:colOff>471386</xdr:colOff>
      <xdr:row>14</xdr:row>
      <xdr:rowOff>169102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043FB12A-BACA-4A73-B22C-ABE806A68D4A}"/>
            </a:ext>
          </a:extLst>
        </xdr:cNvPr>
        <xdr:cNvGrpSpPr/>
      </xdr:nvGrpSpPr>
      <xdr:grpSpPr>
        <a:xfrm>
          <a:off x="12846617" y="2426493"/>
          <a:ext cx="426369" cy="495334"/>
          <a:chOff x="1327841" y="1639958"/>
          <a:chExt cx="417763" cy="534227"/>
        </a:xfrm>
      </xdr:grpSpPr>
      <xdr:sp macro="" textlink="">
        <xdr:nvSpPr>
          <xdr:cNvPr id="164" name="Hexagon 163">
            <a:extLst>
              <a:ext uri="{FF2B5EF4-FFF2-40B4-BE49-F238E27FC236}">
                <a16:creationId xmlns:a16="http://schemas.microsoft.com/office/drawing/2014/main" id="{15CD0603-13F0-4D9B-4309-8E8D50EAB26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65" name="Group 164">
            <a:extLst>
              <a:ext uri="{FF2B5EF4-FFF2-40B4-BE49-F238E27FC236}">
                <a16:creationId xmlns:a16="http://schemas.microsoft.com/office/drawing/2014/main" id="{36535D61-98BA-F68D-BBD6-7E23F5A22916}"/>
              </a:ext>
            </a:extLst>
          </xdr:cNvPr>
          <xdr:cNvGrpSpPr/>
        </xdr:nvGrpSpPr>
        <xdr:grpSpPr>
          <a:xfrm>
            <a:off x="1353728" y="1663589"/>
            <a:ext cx="391876" cy="510596"/>
            <a:chOff x="1353728" y="1663589"/>
            <a:chExt cx="391876" cy="510596"/>
          </a:xfrm>
        </xdr:grpSpPr>
        <xdr:cxnSp macro="">
          <xdr:nvCxnSpPr>
            <xdr:cNvPr id="166" name="Straight Connector 165">
              <a:extLst>
                <a:ext uri="{FF2B5EF4-FFF2-40B4-BE49-F238E27FC236}">
                  <a16:creationId xmlns:a16="http://schemas.microsoft.com/office/drawing/2014/main" id="{D04940F0-F390-E2E4-7663-C7252406582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75023303-3D84-7E51-AE3F-611DEE384FAB}"/>
                </a:ext>
              </a:extLst>
            </xdr:cNvPr>
            <xdr:cNvSpPr txBox="1"/>
          </xdr:nvSpPr>
          <xdr:spPr>
            <a:xfrm>
              <a:off x="1353728" y="1663589"/>
              <a:ext cx="391876" cy="2329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6</a:t>
              </a:r>
            </a:p>
          </xdr:txBody>
        </xdr:sp>
      </xdr:grpSp>
    </xdr:grpSp>
    <xdr:clientData/>
  </xdr:twoCellAnchor>
  <xdr:twoCellAnchor>
    <xdr:from>
      <xdr:col>15</xdr:col>
      <xdr:colOff>11907</xdr:colOff>
      <xdr:row>8</xdr:row>
      <xdr:rowOff>178593</xdr:rowOff>
    </xdr:from>
    <xdr:to>
      <xdr:col>18</xdr:col>
      <xdr:colOff>519113</xdr:colOff>
      <xdr:row>8</xdr:row>
      <xdr:rowOff>178593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A2F32D2B-C83E-49D4-AD0C-E6F285761E3B}"/>
            </a:ext>
          </a:extLst>
        </xdr:cNvPr>
        <xdr:cNvCxnSpPr/>
      </xdr:nvCxnSpPr>
      <xdr:spPr>
        <a:xfrm flipH="1">
          <a:off x="9155907" y="1874043"/>
          <a:ext cx="23360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285750</xdr:colOff>
      <xdr:row>7</xdr:row>
      <xdr:rowOff>142875</xdr:rowOff>
    </xdr:from>
    <xdr:to>
      <xdr:col>15</xdr:col>
      <xdr:colOff>11907</xdr:colOff>
      <xdr:row>9</xdr:row>
      <xdr:rowOff>166687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F66F2696-F184-43B9-8989-9AF14505494C}"/>
            </a:ext>
          </a:extLst>
        </xdr:cNvPr>
        <xdr:cNvSpPr/>
      </xdr:nvSpPr>
      <xdr:spPr>
        <a:xfrm>
          <a:off x="8210550" y="1654175"/>
          <a:ext cx="945357" cy="39211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285750</xdr:colOff>
      <xdr:row>7</xdr:row>
      <xdr:rowOff>142874</xdr:rowOff>
    </xdr:from>
    <xdr:to>
      <xdr:col>15</xdr:col>
      <xdr:colOff>11906</xdr:colOff>
      <xdr:row>9</xdr:row>
      <xdr:rowOff>178593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F26BC9FC-C1A3-4594-836E-EA3875CD3B68}"/>
            </a:ext>
          </a:extLst>
        </xdr:cNvPr>
        <xdr:cNvCxnSpPr/>
      </xdr:nvCxnSpPr>
      <xdr:spPr>
        <a:xfrm flipH="1">
          <a:off x="8210550" y="1654174"/>
          <a:ext cx="945356" cy="40401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178593</xdr:colOff>
      <xdr:row>6</xdr:row>
      <xdr:rowOff>83343</xdr:rowOff>
    </xdr:from>
    <xdr:to>
      <xdr:col>15</xdr:col>
      <xdr:colOff>154780</xdr:colOff>
      <xdr:row>7</xdr:row>
      <xdr:rowOff>107156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8ED2EC4D-B06B-4C05-8E60-55419D517C8A}"/>
            </a:ext>
          </a:extLst>
        </xdr:cNvPr>
        <xdr:cNvSpPr txBox="1"/>
      </xdr:nvSpPr>
      <xdr:spPr>
        <a:xfrm>
          <a:off x="8103393" y="1410493"/>
          <a:ext cx="1195387" cy="207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Low</a:t>
          </a:r>
          <a:r>
            <a:rPr lang="en-US" sz="1100" baseline="0"/>
            <a:t> Pressure RO</a:t>
          </a:r>
          <a:endParaRPr lang="en-US" sz="1100"/>
        </a:p>
      </xdr:txBody>
    </xdr:sp>
    <xdr:clientData/>
  </xdr:twoCellAnchor>
  <xdr:twoCellAnchor>
    <xdr:from>
      <xdr:col>12</xdr:col>
      <xdr:colOff>464343</xdr:colOff>
      <xdr:row>9</xdr:row>
      <xdr:rowOff>0</xdr:rowOff>
    </xdr:from>
    <xdr:to>
      <xdr:col>13</xdr:col>
      <xdr:colOff>280987</xdr:colOff>
      <xdr:row>9</xdr:row>
      <xdr:rowOff>0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D5100B17-4C6E-474C-8D98-00E630BD14CE}"/>
            </a:ext>
          </a:extLst>
        </xdr:cNvPr>
        <xdr:cNvCxnSpPr/>
      </xdr:nvCxnSpPr>
      <xdr:spPr>
        <a:xfrm flipH="1">
          <a:off x="7779543" y="1879600"/>
          <a:ext cx="426244" cy="0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142875</xdr:colOff>
      <xdr:row>17</xdr:row>
      <xdr:rowOff>130968</xdr:rowOff>
    </xdr:from>
    <xdr:to>
      <xdr:col>14</xdr:col>
      <xdr:colOff>142875</xdr:colOff>
      <xdr:row>25</xdr:row>
      <xdr:rowOff>130968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F021C05C-63F8-488C-8C94-5D66542DF35B}"/>
            </a:ext>
          </a:extLst>
        </xdr:cNvPr>
        <xdr:cNvCxnSpPr/>
      </xdr:nvCxnSpPr>
      <xdr:spPr>
        <a:xfrm>
          <a:off x="8677275" y="3483768"/>
          <a:ext cx="0" cy="147320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</xdr:colOff>
      <xdr:row>16</xdr:row>
      <xdr:rowOff>95246</xdr:rowOff>
    </xdr:from>
    <xdr:to>
      <xdr:col>14</xdr:col>
      <xdr:colOff>273843</xdr:colOff>
      <xdr:row>17</xdr:row>
      <xdr:rowOff>142873</xdr:rowOff>
    </xdr:to>
    <xdr:sp macro="" textlink="">
      <xdr:nvSpPr>
        <xdr:cNvPr id="174" name="Arc 173">
          <a:extLst>
            <a:ext uri="{FF2B5EF4-FFF2-40B4-BE49-F238E27FC236}">
              <a16:creationId xmlns:a16="http://schemas.microsoft.com/office/drawing/2014/main" id="{2CE5E6AC-68BA-4FB6-A920-2B947593ED39}"/>
            </a:ext>
          </a:extLst>
        </xdr:cNvPr>
        <xdr:cNvSpPr/>
      </xdr:nvSpPr>
      <xdr:spPr>
        <a:xfrm flipH="1" flipV="1">
          <a:off x="8558212" y="3263896"/>
          <a:ext cx="250031" cy="231777"/>
        </a:xfrm>
        <a:prstGeom prst="arc">
          <a:avLst>
            <a:gd name="adj1" fmla="val 5400000"/>
            <a:gd name="adj2" fmla="val 16307393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130968</xdr:colOff>
      <xdr:row>15</xdr:row>
      <xdr:rowOff>0</xdr:rowOff>
    </xdr:from>
    <xdr:to>
      <xdr:col>14</xdr:col>
      <xdr:colOff>381000</xdr:colOff>
      <xdr:row>15</xdr:row>
      <xdr:rowOff>0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F72F7671-6317-4BF7-A3A6-6CE6BC56B8A7}"/>
            </a:ext>
          </a:extLst>
        </xdr:cNvPr>
        <xdr:cNvCxnSpPr/>
      </xdr:nvCxnSpPr>
      <xdr:spPr>
        <a:xfrm flipH="1">
          <a:off x="8665368" y="2984500"/>
          <a:ext cx="25003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15</xdr:row>
      <xdr:rowOff>11907</xdr:rowOff>
    </xdr:from>
    <xdr:to>
      <xdr:col>3</xdr:col>
      <xdr:colOff>238125</xdr:colOff>
      <xdr:row>18</xdr:row>
      <xdr:rowOff>178593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00C0591A-E470-47F3-90BA-931C08D2FE87}"/>
            </a:ext>
          </a:extLst>
        </xdr:cNvPr>
        <xdr:cNvSpPr/>
      </xdr:nvSpPr>
      <xdr:spPr>
        <a:xfrm>
          <a:off x="1219201" y="2996407"/>
          <a:ext cx="847724" cy="71913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797719</xdr:colOff>
      <xdr:row>15</xdr:row>
      <xdr:rowOff>11905</xdr:rowOff>
    </xdr:from>
    <xdr:to>
      <xdr:col>3</xdr:col>
      <xdr:colOff>250032</xdr:colOff>
      <xdr:row>19</xdr:row>
      <xdr:rowOff>71436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7B8CF75-8EE0-48F1-A58A-DAA343308640}"/>
            </a:ext>
          </a:extLst>
        </xdr:cNvPr>
        <xdr:cNvSpPr txBox="1"/>
      </xdr:nvSpPr>
      <xdr:spPr>
        <a:xfrm>
          <a:off x="1216819" y="2996405"/>
          <a:ext cx="862013" cy="7961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Filtration</a:t>
          </a:r>
        </a:p>
      </xdr:txBody>
    </xdr:sp>
    <xdr:clientData/>
  </xdr:twoCellAnchor>
  <xdr:twoCellAnchor>
    <xdr:from>
      <xdr:col>16</xdr:col>
      <xdr:colOff>321469</xdr:colOff>
      <xdr:row>24</xdr:row>
      <xdr:rowOff>11906</xdr:rowOff>
    </xdr:from>
    <xdr:to>
      <xdr:col>16</xdr:col>
      <xdr:colOff>321469</xdr:colOff>
      <xdr:row>25</xdr:row>
      <xdr:rowOff>130968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3F75C237-0644-4423-A029-293076E75A45}"/>
            </a:ext>
          </a:extLst>
        </xdr:cNvPr>
        <xdr:cNvCxnSpPr/>
      </xdr:nvCxnSpPr>
      <xdr:spPr>
        <a:xfrm>
          <a:off x="10075069" y="4653756"/>
          <a:ext cx="0" cy="3032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308666</xdr:colOff>
      <xdr:row>14</xdr:row>
      <xdr:rowOff>71438</xdr:rowOff>
    </xdr:from>
    <xdr:to>
      <xdr:col>15</xdr:col>
      <xdr:colOff>607910</xdr:colOff>
      <xdr:row>17</xdr:row>
      <xdr:rowOff>22259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76CB8CC3-0E24-4221-BDDD-6610257A70EF}"/>
            </a:ext>
          </a:extLst>
        </xdr:cNvPr>
        <xdr:cNvGrpSpPr/>
      </xdr:nvGrpSpPr>
      <xdr:grpSpPr>
        <a:xfrm>
          <a:off x="9452666" y="2824163"/>
          <a:ext cx="299244" cy="493746"/>
          <a:chOff x="1327841" y="1639958"/>
          <a:chExt cx="388144" cy="534227"/>
        </a:xfrm>
      </xdr:grpSpPr>
      <xdr:sp macro="" textlink="">
        <xdr:nvSpPr>
          <xdr:cNvPr id="180" name="Hexagon 179">
            <a:extLst>
              <a:ext uri="{FF2B5EF4-FFF2-40B4-BE49-F238E27FC236}">
                <a16:creationId xmlns:a16="http://schemas.microsoft.com/office/drawing/2014/main" id="{8ACCEC2D-E175-0A4E-5A89-6A0DF5283B2F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1" name="Group 180">
            <a:extLst>
              <a:ext uri="{FF2B5EF4-FFF2-40B4-BE49-F238E27FC236}">
                <a16:creationId xmlns:a16="http://schemas.microsoft.com/office/drawing/2014/main" id="{D4D23288-530E-3EFB-8050-082372DD8F04}"/>
              </a:ext>
            </a:extLst>
          </xdr:cNvPr>
          <xdr:cNvGrpSpPr/>
        </xdr:nvGrpSpPr>
        <xdr:grpSpPr>
          <a:xfrm>
            <a:off x="1340643" y="1671519"/>
            <a:ext cx="375342" cy="502666"/>
            <a:chOff x="1340643" y="1671519"/>
            <a:chExt cx="375342" cy="502666"/>
          </a:xfrm>
        </xdr:grpSpPr>
        <xdr:cxnSp macro="">
          <xdr:nvCxnSpPr>
            <xdr:cNvPr id="182" name="Straight Connector 181">
              <a:extLst>
                <a:ext uri="{FF2B5EF4-FFF2-40B4-BE49-F238E27FC236}">
                  <a16:creationId xmlns:a16="http://schemas.microsoft.com/office/drawing/2014/main" id="{A2C86D17-203F-3E9B-C618-B0A7DEA71ACF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6B7772F7-78CB-41D4-C3C0-54CE13CA7BA7}"/>
                </a:ext>
              </a:extLst>
            </xdr:cNvPr>
            <xdr:cNvSpPr txBox="1"/>
          </xdr:nvSpPr>
          <xdr:spPr>
            <a:xfrm>
              <a:off x="1340643" y="1671519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</a:t>
              </a:r>
            </a:p>
          </xdr:txBody>
        </xdr:sp>
      </xdr:grpSp>
    </xdr:grpSp>
    <xdr:clientData/>
  </xdr:twoCellAnchor>
  <xdr:twoCellAnchor>
    <xdr:from>
      <xdr:col>18</xdr:col>
      <xdr:colOff>571446</xdr:colOff>
      <xdr:row>14</xdr:row>
      <xdr:rowOff>47625</xdr:rowOff>
    </xdr:from>
    <xdr:to>
      <xdr:col>19</xdr:col>
      <xdr:colOff>312637</xdr:colOff>
      <xdr:row>17</xdr:row>
      <xdr:rowOff>793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CCBABEE5-1985-465F-BE98-06FFD89304B7}"/>
            </a:ext>
          </a:extLst>
        </xdr:cNvPr>
        <xdr:cNvGrpSpPr/>
      </xdr:nvGrpSpPr>
      <xdr:grpSpPr>
        <a:xfrm>
          <a:off x="11544246" y="2800350"/>
          <a:ext cx="350791" cy="496093"/>
          <a:chOff x="1327841" y="1639958"/>
          <a:chExt cx="347565" cy="534227"/>
        </a:xfrm>
      </xdr:grpSpPr>
      <xdr:sp macro="" textlink="">
        <xdr:nvSpPr>
          <xdr:cNvPr id="185" name="Hexagon 184">
            <a:extLst>
              <a:ext uri="{FF2B5EF4-FFF2-40B4-BE49-F238E27FC236}">
                <a16:creationId xmlns:a16="http://schemas.microsoft.com/office/drawing/2014/main" id="{2AEA5991-EA61-B19A-91D7-5CA996F90C2A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6" name="Group 185">
            <a:extLst>
              <a:ext uri="{FF2B5EF4-FFF2-40B4-BE49-F238E27FC236}">
                <a16:creationId xmlns:a16="http://schemas.microsoft.com/office/drawing/2014/main" id="{89245A16-CA6C-7CD3-DAD5-554A6459197C}"/>
              </a:ext>
            </a:extLst>
          </xdr:cNvPr>
          <xdr:cNvGrpSpPr/>
        </xdr:nvGrpSpPr>
        <xdr:grpSpPr>
          <a:xfrm>
            <a:off x="1350864" y="1653461"/>
            <a:ext cx="324542" cy="520724"/>
            <a:chOff x="1350864" y="1653461"/>
            <a:chExt cx="324542" cy="520724"/>
          </a:xfrm>
        </xdr:grpSpPr>
        <xdr:cxnSp macro="">
          <xdr:nvCxnSpPr>
            <xdr:cNvPr id="187" name="Straight Connector 186">
              <a:extLst>
                <a:ext uri="{FF2B5EF4-FFF2-40B4-BE49-F238E27FC236}">
                  <a16:creationId xmlns:a16="http://schemas.microsoft.com/office/drawing/2014/main" id="{F856281E-8DD7-0B80-63F0-DDBECDD39A8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7B009962-79B8-C58E-DB80-65B5288A3354}"/>
                </a:ext>
              </a:extLst>
            </xdr:cNvPr>
            <xdr:cNvSpPr txBox="1"/>
          </xdr:nvSpPr>
          <xdr:spPr>
            <a:xfrm>
              <a:off x="135086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4</a:t>
              </a:r>
            </a:p>
          </xdr:txBody>
        </xdr:sp>
      </xdr:grpSp>
    </xdr:grpSp>
    <xdr:clientData/>
  </xdr:twoCellAnchor>
  <xdr:twoCellAnchor>
    <xdr:from>
      <xdr:col>20</xdr:col>
      <xdr:colOff>284855</xdr:colOff>
      <xdr:row>14</xdr:row>
      <xdr:rowOff>35719</xdr:rowOff>
    </xdr:from>
    <xdr:to>
      <xdr:col>21</xdr:col>
      <xdr:colOff>3074</xdr:colOff>
      <xdr:row>16</xdr:row>
      <xdr:rowOff>179387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18E1D717-1C92-4650-8AB8-03284C810A30}"/>
            </a:ext>
          </a:extLst>
        </xdr:cNvPr>
        <xdr:cNvGrpSpPr/>
      </xdr:nvGrpSpPr>
      <xdr:grpSpPr>
        <a:xfrm>
          <a:off x="12476855" y="2788444"/>
          <a:ext cx="327819" cy="505618"/>
          <a:chOff x="1327841" y="1639958"/>
          <a:chExt cx="337344" cy="534227"/>
        </a:xfrm>
      </xdr:grpSpPr>
      <xdr:sp macro="" textlink="">
        <xdr:nvSpPr>
          <xdr:cNvPr id="190" name="Hexagon 189">
            <a:extLst>
              <a:ext uri="{FF2B5EF4-FFF2-40B4-BE49-F238E27FC236}">
                <a16:creationId xmlns:a16="http://schemas.microsoft.com/office/drawing/2014/main" id="{C031F58E-ACB1-8410-C08D-A71D42A468A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91" name="Group 190">
            <a:extLst>
              <a:ext uri="{FF2B5EF4-FFF2-40B4-BE49-F238E27FC236}">
                <a16:creationId xmlns:a16="http://schemas.microsoft.com/office/drawing/2014/main" id="{596FAA21-337B-CCBE-3F9B-1A07B58CB19A}"/>
              </a:ext>
            </a:extLst>
          </xdr:cNvPr>
          <xdr:cNvGrpSpPr/>
        </xdr:nvGrpSpPr>
        <xdr:grpSpPr>
          <a:xfrm>
            <a:off x="1340643" y="1653461"/>
            <a:ext cx="324542" cy="520724"/>
            <a:chOff x="1340643" y="1653461"/>
            <a:chExt cx="324542" cy="520724"/>
          </a:xfrm>
        </xdr:grpSpPr>
        <xdr:cxnSp macro="">
          <xdr:nvCxnSpPr>
            <xdr:cNvPr id="192" name="Straight Connector 191">
              <a:extLst>
                <a:ext uri="{FF2B5EF4-FFF2-40B4-BE49-F238E27FC236}">
                  <a16:creationId xmlns:a16="http://schemas.microsoft.com/office/drawing/2014/main" id="{61D100FE-0AFF-DB0A-1BD4-B020C7335D38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83517924-67A6-1C49-88DC-3B1F9EEC0667}"/>
                </a:ext>
              </a:extLst>
            </xdr:cNvPr>
            <xdr:cNvSpPr txBox="1"/>
          </xdr:nvSpPr>
          <xdr:spPr>
            <a:xfrm>
              <a:off x="1340643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5</a:t>
              </a:r>
            </a:p>
          </xdr:txBody>
        </xdr:sp>
      </xdr:grpSp>
    </xdr:grpSp>
    <xdr:clientData/>
  </xdr:twoCellAnchor>
  <xdr:twoCellAnchor>
    <xdr:from>
      <xdr:col>22</xdr:col>
      <xdr:colOff>378</xdr:colOff>
      <xdr:row>12</xdr:row>
      <xdr:rowOff>23812</xdr:rowOff>
    </xdr:from>
    <xdr:to>
      <xdr:col>22</xdr:col>
      <xdr:colOff>359466</xdr:colOff>
      <xdr:row>14</xdr:row>
      <xdr:rowOff>177039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4B440FAE-221F-4AC7-BFD6-926710094D8A}"/>
            </a:ext>
          </a:extLst>
        </xdr:cNvPr>
        <xdr:cNvGrpSpPr/>
      </xdr:nvGrpSpPr>
      <xdr:grpSpPr>
        <a:xfrm>
          <a:off x="13411578" y="2414587"/>
          <a:ext cx="359088" cy="515177"/>
          <a:chOff x="1327841" y="1639958"/>
          <a:chExt cx="374975" cy="534227"/>
        </a:xfrm>
      </xdr:grpSpPr>
      <xdr:sp macro="" textlink="">
        <xdr:nvSpPr>
          <xdr:cNvPr id="195" name="Hexagon 194">
            <a:extLst>
              <a:ext uri="{FF2B5EF4-FFF2-40B4-BE49-F238E27FC236}">
                <a16:creationId xmlns:a16="http://schemas.microsoft.com/office/drawing/2014/main" id="{9BAAC151-D536-CB40-1F71-E541E4E3BF32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96" name="Group 195">
            <a:extLst>
              <a:ext uri="{FF2B5EF4-FFF2-40B4-BE49-F238E27FC236}">
                <a16:creationId xmlns:a16="http://schemas.microsoft.com/office/drawing/2014/main" id="{9C45FF96-3BCC-DD97-A7D7-21E38BA779B3}"/>
              </a:ext>
            </a:extLst>
          </xdr:cNvPr>
          <xdr:cNvGrpSpPr/>
        </xdr:nvGrpSpPr>
        <xdr:grpSpPr>
          <a:xfrm>
            <a:off x="1352874" y="1666874"/>
            <a:ext cx="349942" cy="507311"/>
            <a:chOff x="1352874" y="1666874"/>
            <a:chExt cx="349942" cy="507311"/>
          </a:xfrm>
        </xdr:grpSpPr>
        <xdr:cxnSp macro="">
          <xdr:nvCxnSpPr>
            <xdr:cNvPr id="197" name="Straight Connector 196">
              <a:extLst>
                <a:ext uri="{FF2B5EF4-FFF2-40B4-BE49-F238E27FC236}">
                  <a16:creationId xmlns:a16="http://schemas.microsoft.com/office/drawing/2014/main" id="{860F0A1D-A5B8-57B0-F394-A992E336B81E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74D94028-559C-6904-5D58-DCE1AFCA52B9}"/>
                </a:ext>
              </a:extLst>
            </xdr:cNvPr>
            <xdr:cNvSpPr txBox="1"/>
          </xdr:nvSpPr>
          <xdr:spPr>
            <a:xfrm>
              <a:off x="1352874" y="1666874"/>
              <a:ext cx="34994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7</a:t>
              </a:r>
            </a:p>
          </xdr:txBody>
        </xdr:sp>
      </xdr:grpSp>
    </xdr:grpSp>
    <xdr:clientData/>
  </xdr:twoCellAnchor>
  <xdr:twoCellAnchor>
    <xdr:from>
      <xdr:col>14</xdr:col>
      <xdr:colOff>214311</xdr:colOff>
      <xdr:row>12</xdr:row>
      <xdr:rowOff>59531</xdr:rowOff>
    </xdr:from>
    <xdr:to>
      <xdr:col>14</xdr:col>
      <xdr:colOff>589653</xdr:colOff>
      <xdr:row>15</xdr:row>
      <xdr:rowOff>10352</xdr:rowOff>
    </xdr:to>
    <xdr:grpSp>
      <xdr:nvGrpSpPr>
        <xdr:cNvPr id="199" name="Group 198">
          <a:extLst>
            <a:ext uri="{FF2B5EF4-FFF2-40B4-BE49-F238E27FC236}">
              <a16:creationId xmlns:a16="http://schemas.microsoft.com/office/drawing/2014/main" id="{6F2662F0-3352-4B5D-9C44-37FE542BB03D}"/>
            </a:ext>
          </a:extLst>
        </xdr:cNvPr>
        <xdr:cNvGrpSpPr/>
      </xdr:nvGrpSpPr>
      <xdr:grpSpPr>
        <a:xfrm>
          <a:off x="8748711" y="2450306"/>
          <a:ext cx="375342" cy="493746"/>
          <a:chOff x="1304924" y="1639958"/>
          <a:chExt cx="375342" cy="534227"/>
        </a:xfrm>
      </xdr:grpSpPr>
      <xdr:sp macro="" textlink="">
        <xdr:nvSpPr>
          <xdr:cNvPr id="200" name="Hexagon 199">
            <a:extLst>
              <a:ext uri="{FF2B5EF4-FFF2-40B4-BE49-F238E27FC236}">
                <a16:creationId xmlns:a16="http://schemas.microsoft.com/office/drawing/2014/main" id="{D6518E5B-CDE6-A8AD-2A37-58AE734A4993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01" name="Group 200">
            <a:extLst>
              <a:ext uri="{FF2B5EF4-FFF2-40B4-BE49-F238E27FC236}">
                <a16:creationId xmlns:a16="http://schemas.microsoft.com/office/drawing/2014/main" id="{AE496E42-10EA-6B0C-7B77-DA1391B2D32E}"/>
              </a:ext>
            </a:extLst>
          </xdr:cNvPr>
          <xdr:cNvGrpSpPr/>
        </xdr:nvGrpSpPr>
        <xdr:grpSpPr>
          <a:xfrm>
            <a:off x="1304924" y="1647163"/>
            <a:ext cx="375342" cy="527022"/>
            <a:chOff x="1304924" y="1647163"/>
            <a:chExt cx="375342" cy="527022"/>
          </a:xfrm>
        </xdr:grpSpPr>
        <xdr:cxnSp macro="">
          <xdr:nvCxnSpPr>
            <xdr:cNvPr id="202" name="Straight Connector 201">
              <a:extLst>
                <a:ext uri="{FF2B5EF4-FFF2-40B4-BE49-F238E27FC236}">
                  <a16:creationId xmlns:a16="http://schemas.microsoft.com/office/drawing/2014/main" id="{27CF60D9-63FE-BC80-B95A-7F0C03E4076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E1833464-9C76-4DE9-5559-C89028DD5649}"/>
                </a:ext>
              </a:extLst>
            </xdr:cNvPr>
            <xdr:cNvSpPr txBox="1"/>
          </xdr:nvSpPr>
          <xdr:spPr>
            <a:xfrm>
              <a:off x="1304924" y="1647163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27</a:t>
              </a:r>
            </a:p>
          </xdr:txBody>
        </xdr:sp>
      </xdr:grpSp>
    </xdr:grpSp>
    <xdr:clientData/>
  </xdr:twoCellAnchor>
  <xdr:twoCellAnchor>
    <xdr:from>
      <xdr:col>19</xdr:col>
      <xdr:colOff>571499</xdr:colOff>
      <xdr:row>16</xdr:row>
      <xdr:rowOff>35719</xdr:rowOff>
    </xdr:from>
    <xdr:to>
      <xdr:col>20</xdr:col>
      <xdr:colOff>273843</xdr:colOff>
      <xdr:row>17</xdr:row>
      <xdr:rowOff>166687</xdr:rowOff>
    </xdr:to>
    <xdr:grpSp>
      <xdr:nvGrpSpPr>
        <xdr:cNvPr id="204" name="Group 203">
          <a:extLst>
            <a:ext uri="{FF2B5EF4-FFF2-40B4-BE49-F238E27FC236}">
              <a16:creationId xmlns:a16="http://schemas.microsoft.com/office/drawing/2014/main" id="{9B15C97F-228C-4BBA-A7DB-8CF2AFC6548A}"/>
            </a:ext>
          </a:extLst>
        </xdr:cNvPr>
        <xdr:cNvGrpSpPr/>
      </xdr:nvGrpSpPr>
      <xdr:grpSpPr>
        <a:xfrm>
          <a:off x="12153899" y="3150394"/>
          <a:ext cx="311944" cy="311943"/>
          <a:chOff x="6453188" y="3298031"/>
          <a:chExt cx="309562" cy="321468"/>
        </a:xfrm>
      </xdr:grpSpPr>
      <xdr:sp macro="" textlink="">
        <xdr:nvSpPr>
          <xdr:cNvPr id="205" name="Oval 204">
            <a:extLst>
              <a:ext uri="{FF2B5EF4-FFF2-40B4-BE49-F238E27FC236}">
                <a16:creationId xmlns:a16="http://schemas.microsoft.com/office/drawing/2014/main" id="{56D9C12E-C79F-7D50-1142-A54DA34C9839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6" name="Isosceles Triangle 205">
            <a:extLst>
              <a:ext uri="{FF2B5EF4-FFF2-40B4-BE49-F238E27FC236}">
                <a16:creationId xmlns:a16="http://schemas.microsoft.com/office/drawing/2014/main" id="{421F89F0-D9E4-6DE6-E6E4-C683443825E3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28</xdr:col>
      <xdr:colOff>69056</xdr:colOff>
      <xdr:row>26</xdr:row>
      <xdr:rowOff>21431</xdr:rowOff>
    </xdr:from>
    <xdr:to>
      <xdr:col>28</xdr:col>
      <xdr:colOff>378618</xdr:colOff>
      <xdr:row>27</xdr:row>
      <xdr:rowOff>152399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829E7549-D5A5-4C4F-B602-6A61ACF89D88}"/>
            </a:ext>
          </a:extLst>
        </xdr:cNvPr>
        <xdr:cNvGrpSpPr/>
      </xdr:nvGrpSpPr>
      <xdr:grpSpPr>
        <a:xfrm>
          <a:off x="17137856" y="4945856"/>
          <a:ext cx="309562" cy="311943"/>
          <a:chOff x="6453188" y="3298031"/>
          <a:chExt cx="309562" cy="321468"/>
        </a:xfrm>
      </xdr:grpSpPr>
      <xdr:sp macro="" textlink="">
        <xdr:nvSpPr>
          <xdr:cNvPr id="208" name="Oval 207">
            <a:extLst>
              <a:ext uri="{FF2B5EF4-FFF2-40B4-BE49-F238E27FC236}">
                <a16:creationId xmlns:a16="http://schemas.microsoft.com/office/drawing/2014/main" id="{AB4B2DFE-30B9-8FFC-3E5B-E1525E0BEF77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9" name="Isosceles Triangle 208">
            <a:extLst>
              <a:ext uri="{FF2B5EF4-FFF2-40B4-BE49-F238E27FC236}">
                <a16:creationId xmlns:a16="http://schemas.microsoft.com/office/drawing/2014/main" id="{38138C08-B0D6-090A-9CE3-35AAFDBD4560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170258</xdr:colOff>
      <xdr:row>10</xdr:row>
      <xdr:rowOff>175022</xdr:rowOff>
    </xdr:from>
    <xdr:to>
      <xdr:col>20</xdr:col>
      <xdr:colOff>584595</xdr:colOff>
      <xdr:row>12</xdr:row>
      <xdr:rowOff>120253</xdr:rowOff>
    </xdr:to>
    <xdr:grpSp>
      <xdr:nvGrpSpPr>
        <xdr:cNvPr id="210" name="Group 209">
          <a:extLst>
            <a:ext uri="{FF2B5EF4-FFF2-40B4-BE49-F238E27FC236}">
              <a16:creationId xmlns:a16="http://schemas.microsoft.com/office/drawing/2014/main" id="{18E3C1FC-4F9A-4742-9512-C9517FC19FFB}"/>
            </a:ext>
          </a:extLst>
        </xdr:cNvPr>
        <xdr:cNvGrpSpPr/>
      </xdr:nvGrpSpPr>
      <xdr:grpSpPr>
        <a:xfrm rot="16200000">
          <a:off x="12415836" y="2150269"/>
          <a:ext cx="307181" cy="414337"/>
          <a:chOff x="7627144" y="3759997"/>
          <a:chExt cx="326231" cy="414337"/>
        </a:xfrm>
      </xdr:grpSpPr>
      <xdr:sp macro="" textlink="">
        <xdr:nvSpPr>
          <xdr:cNvPr id="211" name="Isosceles Triangle 210">
            <a:extLst>
              <a:ext uri="{FF2B5EF4-FFF2-40B4-BE49-F238E27FC236}">
                <a16:creationId xmlns:a16="http://schemas.microsoft.com/office/drawing/2014/main" id="{5D07F88D-4835-0868-B8F0-7B003619FF20}"/>
              </a:ext>
            </a:extLst>
          </xdr:cNvPr>
          <xdr:cNvSpPr/>
        </xdr:nvSpPr>
        <xdr:spPr>
          <a:xfrm rot="10800000">
            <a:off x="7629525" y="3759997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2" name="Isosceles Triangle 211">
            <a:extLst>
              <a:ext uri="{FF2B5EF4-FFF2-40B4-BE49-F238E27FC236}">
                <a16:creationId xmlns:a16="http://schemas.microsoft.com/office/drawing/2014/main" id="{453208DC-F960-69C8-4157-1523483BE52E}"/>
              </a:ext>
            </a:extLst>
          </xdr:cNvPr>
          <xdr:cNvSpPr/>
        </xdr:nvSpPr>
        <xdr:spPr>
          <a:xfrm>
            <a:off x="7627144" y="3960022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3" name="Straight Connector 212">
            <a:extLst>
              <a:ext uri="{FF2B5EF4-FFF2-40B4-BE49-F238E27FC236}">
                <a16:creationId xmlns:a16="http://schemas.microsoft.com/office/drawing/2014/main" id="{FD9AA77E-B8E9-C345-92DB-CC686F0D6FC5}"/>
              </a:ext>
            </a:extLst>
          </xdr:cNvPr>
          <xdr:cNvCxnSpPr/>
        </xdr:nvCxnSpPr>
        <xdr:spPr>
          <a:xfrm>
            <a:off x="7750969" y="3964781"/>
            <a:ext cx="20240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B5443DBE-BB43-3F4F-A265-19F90A009166}"/>
              </a:ext>
            </a:extLst>
          </xdr:cNvPr>
          <xdr:cNvCxnSpPr/>
        </xdr:nvCxnSpPr>
        <xdr:spPr>
          <a:xfrm>
            <a:off x="7953375" y="3845719"/>
            <a:ext cx="0" cy="23812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23812</xdr:colOff>
      <xdr:row>10</xdr:row>
      <xdr:rowOff>47625</xdr:rowOff>
    </xdr:from>
    <xdr:to>
      <xdr:col>14</xdr:col>
      <xdr:colOff>350043</xdr:colOff>
      <xdr:row>12</xdr:row>
      <xdr:rowOff>80962</xdr:rowOff>
    </xdr:to>
    <xdr:grpSp>
      <xdr:nvGrpSpPr>
        <xdr:cNvPr id="215" name="Group 214">
          <a:extLst>
            <a:ext uri="{FF2B5EF4-FFF2-40B4-BE49-F238E27FC236}">
              <a16:creationId xmlns:a16="http://schemas.microsoft.com/office/drawing/2014/main" id="{27BFEC3E-2492-439F-B1F5-1BC3739200EC}"/>
            </a:ext>
          </a:extLst>
        </xdr:cNvPr>
        <xdr:cNvGrpSpPr/>
      </xdr:nvGrpSpPr>
      <xdr:grpSpPr>
        <a:xfrm>
          <a:off x="8558212" y="2076450"/>
          <a:ext cx="326231" cy="395287"/>
          <a:chOff x="7627144" y="3759997"/>
          <a:chExt cx="326231" cy="414337"/>
        </a:xfrm>
      </xdr:grpSpPr>
      <xdr:sp macro="" textlink="">
        <xdr:nvSpPr>
          <xdr:cNvPr id="216" name="Isosceles Triangle 215">
            <a:extLst>
              <a:ext uri="{FF2B5EF4-FFF2-40B4-BE49-F238E27FC236}">
                <a16:creationId xmlns:a16="http://schemas.microsoft.com/office/drawing/2014/main" id="{070AB3E0-49D2-CD1F-A774-4D740214794F}"/>
              </a:ext>
            </a:extLst>
          </xdr:cNvPr>
          <xdr:cNvSpPr/>
        </xdr:nvSpPr>
        <xdr:spPr>
          <a:xfrm rot="10800000">
            <a:off x="7629525" y="3759997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7" name="Isosceles Triangle 216">
            <a:extLst>
              <a:ext uri="{FF2B5EF4-FFF2-40B4-BE49-F238E27FC236}">
                <a16:creationId xmlns:a16="http://schemas.microsoft.com/office/drawing/2014/main" id="{A1200042-7A76-F468-C283-4C2CC347EBDD}"/>
              </a:ext>
            </a:extLst>
          </xdr:cNvPr>
          <xdr:cNvSpPr/>
        </xdr:nvSpPr>
        <xdr:spPr>
          <a:xfrm>
            <a:off x="7627144" y="3960022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8" name="Straight Connector 217">
            <a:extLst>
              <a:ext uri="{FF2B5EF4-FFF2-40B4-BE49-F238E27FC236}">
                <a16:creationId xmlns:a16="http://schemas.microsoft.com/office/drawing/2014/main" id="{1538BE3E-8960-BF7B-CCC8-0C106E13C5CE}"/>
              </a:ext>
            </a:extLst>
          </xdr:cNvPr>
          <xdr:cNvCxnSpPr/>
        </xdr:nvCxnSpPr>
        <xdr:spPr>
          <a:xfrm>
            <a:off x="7750969" y="3964781"/>
            <a:ext cx="20240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9" name="Straight Connector 218">
            <a:extLst>
              <a:ext uri="{FF2B5EF4-FFF2-40B4-BE49-F238E27FC236}">
                <a16:creationId xmlns:a16="http://schemas.microsoft.com/office/drawing/2014/main" id="{74B096FC-D537-C8CF-27FE-0828F83D2F60}"/>
              </a:ext>
            </a:extLst>
          </xdr:cNvPr>
          <xdr:cNvCxnSpPr/>
        </xdr:nvCxnSpPr>
        <xdr:spPr>
          <a:xfrm>
            <a:off x="7953375" y="3845719"/>
            <a:ext cx="0" cy="23812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464344</xdr:colOff>
      <xdr:row>8</xdr:row>
      <xdr:rowOff>23813</xdr:rowOff>
    </xdr:from>
    <xdr:to>
      <xdr:col>22</xdr:col>
      <xdr:colOff>0</xdr:colOff>
      <xdr:row>9</xdr:row>
      <xdr:rowOff>154781</xdr:rowOff>
    </xdr:to>
    <xdr:grpSp>
      <xdr:nvGrpSpPr>
        <xdr:cNvPr id="220" name="Group 219">
          <a:extLst>
            <a:ext uri="{FF2B5EF4-FFF2-40B4-BE49-F238E27FC236}">
              <a16:creationId xmlns:a16="http://schemas.microsoft.com/office/drawing/2014/main" id="{E234BFB2-E850-4F8F-85E3-824E48CEB91D}"/>
            </a:ext>
          </a:extLst>
        </xdr:cNvPr>
        <xdr:cNvGrpSpPr/>
      </xdr:nvGrpSpPr>
      <xdr:grpSpPr>
        <a:xfrm rot="10800000">
          <a:off x="13265944" y="1690688"/>
          <a:ext cx="145256" cy="311943"/>
          <a:chOff x="6453188" y="3298031"/>
          <a:chExt cx="309562" cy="321468"/>
        </a:xfrm>
      </xdr:grpSpPr>
      <xdr:sp macro="" textlink="">
        <xdr:nvSpPr>
          <xdr:cNvPr id="221" name="Oval 220">
            <a:extLst>
              <a:ext uri="{FF2B5EF4-FFF2-40B4-BE49-F238E27FC236}">
                <a16:creationId xmlns:a16="http://schemas.microsoft.com/office/drawing/2014/main" id="{C64ADF83-84FB-F95A-A5EE-6DE965DBC7F4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2" name="Isosceles Triangle 221">
            <a:extLst>
              <a:ext uri="{FF2B5EF4-FFF2-40B4-BE49-F238E27FC236}">
                <a16:creationId xmlns:a16="http://schemas.microsoft.com/office/drawing/2014/main" id="{382C99D3-627C-A8C1-3AFC-CD901F5FED5B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583403</xdr:colOff>
      <xdr:row>9</xdr:row>
      <xdr:rowOff>107157</xdr:rowOff>
    </xdr:from>
    <xdr:to>
      <xdr:col>2</xdr:col>
      <xdr:colOff>71437</xdr:colOff>
      <xdr:row>11</xdr:row>
      <xdr:rowOff>47625</xdr:rowOff>
    </xdr:to>
    <xdr:grpSp>
      <xdr:nvGrpSpPr>
        <xdr:cNvPr id="223" name="Group 222">
          <a:extLst>
            <a:ext uri="{FF2B5EF4-FFF2-40B4-BE49-F238E27FC236}">
              <a16:creationId xmlns:a16="http://schemas.microsoft.com/office/drawing/2014/main" id="{3EFA47E5-D447-46FD-895C-43411202ED90}"/>
            </a:ext>
          </a:extLst>
        </xdr:cNvPr>
        <xdr:cNvGrpSpPr/>
      </xdr:nvGrpSpPr>
      <xdr:grpSpPr>
        <a:xfrm rot="10800000">
          <a:off x="1193003" y="1955007"/>
          <a:ext cx="97634" cy="302418"/>
          <a:chOff x="6453188" y="3298031"/>
          <a:chExt cx="309562" cy="321468"/>
        </a:xfrm>
      </xdr:grpSpPr>
      <xdr:sp macro="" textlink="">
        <xdr:nvSpPr>
          <xdr:cNvPr id="224" name="Oval 223">
            <a:extLst>
              <a:ext uri="{FF2B5EF4-FFF2-40B4-BE49-F238E27FC236}">
                <a16:creationId xmlns:a16="http://schemas.microsoft.com/office/drawing/2014/main" id="{870C2C3B-C3A6-4FE3-DC35-3468144A9DBC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5" name="Isosceles Triangle 224">
            <a:extLst>
              <a:ext uri="{FF2B5EF4-FFF2-40B4-BE49-F238E27FC236}">
                <a16:creationId xmlns:a16="http://schemas.microsoft.com/office/drawing/2014/main" id="{F6151248-ED82-5F85-2B48-67B13EEB23BF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107156</xdr:colOff>
      <xdr:row>16</xdr:row>
      <xdr:rowOff>35718</xdr:rowOff>
    </xdr:from>
    <xdr:to>
      <xdr:col>1</xdr:col>
      <xdr:colOff>416718</xdr:colOff>
      <xdr:row>17</xdr:row>
      <xdr:rowOff>166686</xdr:rowOff>
    </xdr:to>
    <xdr:grpSp>
      <xdr:nvGrpSpPr>
        <xdr:cNvPr id="226" name="Group 225">
          <a:extLst>
            <a:ext uri="{FF2B5EF4-FFF2-40B4-BE49-F238E27FC236}">
              <a16:creationId xmlns:a16="http://schemas.microsoft.com/office/drawing/2014/main" id="{55F25C1B-38C3-4F32-A535-8FBA9924D2A4}"/>
            </a:ext>
          </a:extLst>
        </xdr:cNvPr>
        <xdr:cNvGrpSpPr/>
      </xdr:nvGrpSpPr>
      <xdr:grpSpPr>
        <a:xfrm>
          <a:off x="716756" y="3150393"/>
          <a:ext cx="309562" cy="311943"/>
          <a:chOff x="6453188" y="3298031"/>
          <a:chExt cx="309562" cy="321468"/>
        </a:xfrm>
      </xdr:grpSpPr>
      <xdr:sp macro="" textlink="">
        <xdr:nvSpPr>
          <xdr:cNvPr id="227" name="Oval 226">
            <a:extLst>
              <a:ext uri="{FF2B5EF4-FFF2-40B4-BE49-F238E27FC236}">
                <a16:creationId xmlns:a16="http://schemas.microsoft.com/office/drawing/2014/main" id="{4E28CC2B-8490-EFA8-56CC-47D60B111383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8" name="Isosceles Triangle 227">
            <a:extLst>
              <a:ext uri="{FF2B5EF4-FFF2-40B4-BE49-F238E27FC236}">
                <a16:creationId xmlns:a16="http://schemas.microsoft.com/office/drawing/2014/main" id="{97EE19D9-8679-5091-C1F3-2BA384A9A789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0</xdr:colOff>
      <xdr:row>8</xdr:row>
      <xdr:rowOff>11907</xdr:rowOff>
    </xdr:from>
    <xdr:to>
      <xdr:col>16</xdr:col>
      <xdr:colOff>309562</xdr:colOff>
      <xdr:row>9</xdr:row>
      <xdr:rowOff>142875</xdr:rowOff>
    </xdr:to>
    <xdr:grpSp>
      <xdr:nvGrpSpPr>
        <xdr:cNvPr id="229" name="Group 228">
          <a:extLst>
            <a:ext uri="{FF2B5EF4-FFF2-40B4-BE49-F238E27FC236}">
              <a16:creationId xmlns:a16="http://schemas.microsoft.com/office/drawing/2014/main" id="{08BAE82E-1FE1-4236-8729-987E1E0B8DC3}"/>
            </a:ext>
          </a:extLst>
        </xdr:cNvPr>
        <xdr:cNvGrpSpPr/>
      </xdr:nvGrpSpPr>
      <xdr:grpSpPr>
        <a:xfrm rot="10800000">
          <a:off x="9753600" y="1678782"/>
          <a:ext cx="309562" cy="311943"/>
          <a:chOff x="6453188" y="3298031"/>
          <a:chExt cx="309562" cy="321468"/>
        </a:xfrm>
      </xdr:grpSpPr>
      <xdr:sp macro="" textlink="">
        <xdr:nvSpPr>
          <xdr:cNvPr id="230" name="Oval 229">
            <a:extLst>
              <a:ext uri="{FF2B5EF4-FFF2-40B4-BE49-F238E27FC236}">
                <a16:creationId xmlns:a16="http://schemas.microsoft.com/office/drawing/2014/main" id="{2F959E0E-854B-4664-9CF8-11CCB4CE1A38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1" name="Isosceles Triangle 230">
            <a:extLst>
              <a:ext uri="{FF2B5EF4-FFF2-40B4-BE49-F238E27FC236}">
                <a16:creationId xmlns:a16="http://schemas.microsoft.com/office/drawing/2014/main" id="{FCEEAF2C-6EBB-1835-C910-168FD0DD774A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238126</xdr:colOff>
      <xdr:row>13</xdr:row>
      <xdr:rowOff>83343</xdr:rowOff>
    </xdr:from>
    <xdr:to>
      <xdr:col>15</xdr:col>
      <xdr:colOff>238126</xdr:colOff>
      <xdr:row>17</xdr:row>
      <xdr:rowOff>0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0A365789-6454-4F05-849A-4F633C5287CC}"/>
            </a:ext>
          </a:extLst>
        </xdr:cNvPr>
        <xdr:cNvCxnSpPr/>
      </xdr:nvCxnSpPr>
      <xdr:spPr>
        <a:xfrm>
          <a:off x="9382126" y="2699543"/>
          <a:ext cx="0" cy="65325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547688</xdr:colOff>
      <xdr:row>13</xdr:row>
      <xdr:rowOff>83344</xdr:rowOff>
    </xdr:from>
    <xdr:to>
      <xdr:col>15</xdr:col>
      <xdr:colOff>559595</xdr:colOff>
      <xdr:row>13</xdr:row>
      <xdr:rowOff>83344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EB7C6811-0754-415B-846A-3B1883BCDAFC}"/>
            </a:ext>
          </a:extLst>
        </xdr:cNvPr>
        <xdr:cNvCxnSpPr/>
      </xdr:nvCxnSpPr>
      <xdr:spPr>
        <a:xfrm>
          <a:off x="9082088" y="2699544"/>
          <a:ext cx="62150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559592</xdr:colOff>
      <xdr:row>11</xdr:row>
      <xdr:rowOff>166686</xdr:rowOff>
    </xdr:from>
    <xdr:to>
      <xdr:col>14</xdr:col>
      <xdr:colOff>559592</xdr:colOff>
      <xdr:row>13</xdr:row>
      <xdr:rowOff>83342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DD86E6EE-13A4-457E-B228-E1F41AB98861}"/>
            </a:ext>
          </a:extLst>
        </xdr:cNvPr>
        <xdr:cNvCxnSpPr/>
      </xdr:nvCxnSpPr>
      <xdr:spPr>
        <a:xfrm>
          <a:off x="9093992" y="2414586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223837</xdr:colOff>
      <xdr:row>11</xdr:row>
      <xdr:rowOff>152399</xdr:rowOff>
    </xdr:from>
    <xdr:to>
      <xdr:col>15</xdr:col>
      <xdr:colOff>223837</xdr:colOff>
      <xdr:row>13</xdr:row>
      <xdr:rowOff>69055</xdr:rowOff>
    </xdr:to>
    <xdr:cxnSp macro="">
      <xdr:nvCxnSpPr>
        <xdr:cNvPr id="235" name="Straight Arrow Connector 234">
          <a:extLst>
            <a:ext uri="{FF2B5EF4-FFF2-40B4-BE49-F238E27FC236}">
              <a16:creationId xmlns:a16="http://schemas.microsoft.com/office/drawing/2014/main" id="{1D2B1D41-61BC-4D0A-8164-4BDF0C0680AE}"/>
            </a:ext>
          </a:extLst>
        </xdr:cNvPr>
        <xdr:cNvCxnSpPr/>
      </xdr:nvCxnSpPr>
      <xdr:spPr>
        <a:xfrm>
          <a:off x="9367837" y="2400299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554831</xdr:colOff>
      <xdr:row>11</xdr:row>
      <xdr:rowOff>173830</xdr:rowOff>
    </xdr:from>
    <xdr:to>
      <xdr:col>15</xdr:col>
      <xdr:colOff>554831</xdr:colOff>
      <xdr:row>13</xdr:row>
      <xdr:rowOff>90486</xdr:rowOff>
    </xdr:to>
    <xdr:cxnSp macro="">
      <xdr:nvCxnSpPr>
        <xdr:cNvPr id="236" name="Straight Arrow Connector 235">
          <a:extLst>
            <a:ext uri="{FF2B5EF4-FFF2-40B4-BE49-F238E27FC236}">
              <a16:creationId xmlns:a16="http://schemas.microsoft.com/office/drawing/2014/main" id="{3CA61CC8-E2BF-4DBD-964B-D13F8C6C76F4}"/>
            </a:ext>
          </a:extLst>
        </xdr:cNvPr>
        <xdr:cNvCxnSpPr/>
      </xdr:nvCxnSpPr>
      <xdr:spPr>
        <a:xfrm>
          <a:off x="9698831" y="2421730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404812</xdr:colOff>
      <xdr:row>10</xdr:row>
      <xdr:rowOff>71439</xdr:rowOff>
    </xdr:from>
    <xdr:to>
      <xdr:col>15</xdr:col>
      <xdr:colOff>137217</xdr:colOff>
      <xdr:row>11</xdr:row>
      <xdr:rowOff>165719</xdr:rowOff>
    </xdr:to>
    <xdr:grpSp>
      <xdr:nvGrpSpPr>
        <xdr:cNvPr id="237" name="Group 236">
          <a:extLst>
            <a:ext uri="{FF2B5EF4-FFF2-40B4-BE49-F238E27FC236}">
              <a16:creationId xmlns:a16="http://schemas.microsoft.com/office/drawing/2014/main" id="{77E7F731-7B11-436E-A970-9CE71C6AC342}"/>
            </a:ext>
          </a:extLst>
        </xdr:cNvPr>
        <xdr:cNvGrpSpPr/>
      </xdr:nvGrpSpPr>
      <xdr:grpSpPr>
        <a:xfrm>
          <a:off x="8939212" y="2100264"/>
          <a:ext cx="342005" cy="275255"/>
          <a:chOff x="1304924" y="1639958"/>
          <a:chExt cx="375342" cy="291271"/>
        </a:xfrm>
      </xdr:grpSpPr>
      <xdr:sp macro="" textlink="">
        <xdr:nvSpPr>
          <xdr:cNvPr id="238" name="Hexagon 237">
            <a:extLst>
              <a:ext uri="{FF2B5EF4-FFF2-40B4-BE49-F238E27FC236}">
                <a16:creationId xmlns:a16="http://schemas.microsoft.com/office/drawing/2014/main" id="{82F2E897-5707-0E9B-A135-52A479022AE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9" name="TextBox 238">
            <a:extLst>
              <a:ext uri="{FF2B5EF4-FFF2-40B4-BE49-F238E27FC236}">
                <a16:creationId xmlns:a16="http://schemas.microsoft.com/office/drawing/2014/main" id="{2AC86BC3-B1FD-65CA-365B-F5925B71C169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34</a:t>
            </a:r>
          </a:p>
        </xdr:txBody>
      </xdr:sp>
    </xdr:grpSp>
    <xdr:clientData/>
  </xdr:twoCellAnchor>
  <xdr:twoCellAnchor>
    <xdr:from>
      <xdr:col>15</xdr:col>
      <xdr:colOff>69056</xdr:colOff>
      <xdr:row>10</xdr:row>
      <xdr:rowOff>57151</xdr:rowOff>
    </xdr:from>
    <xdr:to>
      <xdr:col>15</xdr:col>
      <xdr:colOff>444398</xdr:colOff>
      <xdr:row>11</xdr:row>
      <xdr:rowOff>151431</xdr:rowOff>
    </xdr:to>
    <xdr:grpSp>
      <xdr:nvGrpSpPr>
        <xdr:cNvPr id="240" name="Group 239">
          <a:extLst>
            <a:ext uri="{FF2B5EF4-FFF2-40B4-BE49-F238E27FC236}">
              <a16:creationId xmlns:a16="http://schemas.microsoft.com/office/drawing/2014/main" id="{714255B5-41D9-4C74-81EC-E28816C99963}"/>
            </a:ext>
          </a:extLst>
        </xdr:cNvPr>
        <xdr:cNvGrpSpPr/>
      </xdr:nvGrpSpPr>
      <xdr:grpSpPr>
        <a:xfrm>
          <a:off x="9213056" y="2085976"/>
          <a:ext cx="375342" cy="275255"/>
          <a:chOff x="1304924" y="1639958"/>
          <a:chExt cx="375342" cy="291271"/>
        </a:xfrm>
      </xdr:grpSpPr>
      <xdr:sp macro="" textlink="">
        <xdr:nvSpPr>
          <xdr:cNvPr id="241" name="Hexagon 240">
            <a:extLst>
              <a:ext uri="{FF2B5EF4-FFF2-40B4-BE49-F238E27FC236}">
                <a16:creationId xmlns:a16="http://schemas.microsoft.com/office/drawing/2014/main" id="{13D82288-729A-F778-1DBD-0362BAF6F74A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CC58F911-2621-FD27-F7B3-3510ADF49432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35</a:t>
            </a:r>
          </a:p>
        </xdr:txBody>
      </xdr:sp>
    </xdr:grpSp>
    <xdr:clientData/>
  </xdr:twoCellAnchor>
  <xdr:twoCellAnchor>
    <xdr:from>
      <xdr:col>15</xdr:col>
      <xdr:colOff>400050</xdr:colOff>
      <xdr:row>10</xdr:row>
      <xdr:rowOff>66676</xdr:rowOff>
    </xdr:from>
    <xdr:to>
      <xdr:col>16</xdr:col>
      <xdr:colOff>1485</xdr:colOff>
      <xdr:row>11</xdr:row>
      <xdr:rowOff>160956</xdr:rowOff>
    </xdr:to>
    <xdr:grpSp>
      <xdr:nvGrpSpPr>
        <xdr:cNvPr id="243" name="Group 242">
          <a:extLst>
            <a:ext uri="{FF2B5EF4-FFF2-40B4-BE49-F238E27FC236}">
              <a16:creationId xmlns:a16="http://schemas.microsoft.com/office/drawing/2014/main" id="{26D73CFF-CD09-41B4-A76C-752F7F6BD3B9}"/>
            </a:ext>
          </a:extLst>
        </xdr:cNvPr>
        <xdr:cNvGrpSpPr/>
      </xdr:nvGrpSpPr>
      <xdr:grpSpPr>
        <a:xfrm>
          <a:off x="9544050" y="2095501"/>
          <a:ext cx="211035" cy="275255"/>
          <a:chOff x="1304924" y="1639958"/>
          <a:chExt cx="375342" cy="291271"/>
        </a:xfrm>
      </xdr:grpSpPr>
      <xdr:sp macro="" textlink="">
        <xdr:nvSpPr>
          <xdr:cNvPr id="244" name="Hexagon 243">
            <a:extLst>
              <a:ext uri="{FF2B5EF4-FFF2-40B4-BE49-F238E27FC236}">
                <a16:creationId xmlns:a16="http://schemas.microsoft.com/office/drawing/2014/main" id="{D49C4800-4E6C-29C1-A50B-153E7EA862C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5" name="TextBox 244">
            <a:extLst>
              <a:ext uri="{FF2B5EF4-FFF2-40B4-BE49-F238E27FC236}">
                <a16:creationId xmlns:a16="http://schemas.microsoft.com/office/drawing/2014/main" id="{61E89602-D5B5-EF37-EF7C-C940A443E359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36</a:t>
            </a:r>
          </a:p>
        </xdr:txBody>
      </xdr:sp>
    </xdr:grpSp>
    <xdr:clientData/>
  </xdr:twoCellAnchor>
  <xdr:twoCellAnchor>
    <xdr:from>
      <xdr:col>19</xdr:col>
      <xdr:colOff>476250</xdr:colOff>
      <xdr:row>17</xdr:row>
      <xdr:rowOff>11906</xdr:rowOff>
    </xdr:from>
    <xdr:to>
      <xdr:col>19</xdr:col>
      <xdr:colOff>476250</xdr:colOff>
      <xdr:row>18</xdr:row>
      <xdr:rowOff>119062</xdr:rowOff>
    </xdr:to>
    <xdr:cxnSp macro="">
      <xdr:nvCxnSpPr>
        <xdr:cNvPr id="246" name="Straight Arrow Connector 245">
          <a:extLst>
            <a:ext uri="{FF2B5EF4-FFF2-40B4-BE49-F238E27FC236}">
              <a16:creationId xmlns:a16="http://schemas.microsoft.com/office/drawing/2014/main" id="{C4E32B9B-E682-4DB1-81A1-1B7D902A29AC}"/>
            </a:ext>
          </a:extLst>
        </xdr:cNvPr>
        <xdr:cNvCxnSpPr/>
      </xdr:nvCxnSpPr>
      <xdr:spPr>
        <a:xfrm>
          <a:off x="12058650" y="3364706"/>
          <a:ext cx="0" cy="291306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321469</xdr:colOff>
      <xdr:row>18</xdr:row>
      <xdr:rowOff>130969</xdr:rowOff>
    </xdr:from>
    <xdr:to>
      <xdr:col>20</xdr:col>
      <xdr:colOff>77686</xdr:colOff>
      <xdr:row>20</xdr:row>
      <xdr:rowOff>34749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98F15FAB-7A9A-492B-A361-0EABC45F187C}"/>
            </a:ext>
          </a:extLst>
        </xdr:cNvPr>
        <xdr:cNvGrpSpPr/>
      </xdr:nvGrpSpPr>
      <xdr:grpSpPr>
        <a:xfrm>
          <a:off x="11903869" y="3607594"/>
          <a:ext cx="365817" cy="265730"/>
          <a:chOff x="1304924" y="1639958"/>
          <a:chExt cx="375342" cy="291271"/>
        </a:xfrm>
      </xdr:grpSpPr>
      <xdr:sp macro="" textlink="">
        <xdr:nvSpPr>
          <xdr:cNvPr id="248" name="Hexagon 247">
            <a:extLst>
              <a:ext uri="{FF2B5EF4-FFF2-40B4-BE49-F238E27FC236}">
                <a16:creationId xmlns:a16="http://schemas.microsoft.com/office/drawing/2014/main" id="{BCE357B9-587F-BDE5-82E7-053A6AB3BE7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936EEA34-531C-93AB-8CF4-FA7B401FF9BF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37</a:t>
            </a:r>
          </a:p>
        </xdr:txBody>
      </xdr:sp>
    </xdr:grpSp>
    <xdr:clientData/>
  </xdr:twoCellAnchor>
  <xdr:twoCellAnchor>
    <xdr:from>
      <xdr:col>3</xdr:col>
      <xdr:colOff>690563</xdr:colOff>
      <xdr:row>6</xdr:row>
      <xdr:rowOff>145254</xdr:rowOff>
    </xdr:from>
    <xdr:to>
      <xdr:col>3</xdr:col>
      <xdr:colOff>690563</xdr:colOff>
      <xdr:row>10</xdr:row>
      <xdr:rowOff>61911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FB11F229-EA77-4C99-B936-8968302BA52B}"/>
            </a:ext>
          </a:extLst>
        </xdr:cNvPr>
        <xdr:cNvCxnSpPr/>
      </xdr:nvCxnSpPr>
      <xdr:spPr>
        <a:xfrm>
          <a:off x="2436813" y="1472404"/>
          <a:ext cx="0" cy="65325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345280</xdr:colOff>
      <xdr:row>5</xdr:row>
      <xdr:rowOff>38097</xdr:rowOff>
    </xdr:from>
    <xdr:to>
      <xdr:col>3</xdr:col>
      <xdr:colOff>345280</xdr:colOff>
      <xdr:row>6</xdr:row>
      <xdr:rowOff>145253</xdr:rowOff>
    </xdr:to>
    <xdr:cxnSp macro="">
      <xdr:nvCxnSpPr>
        <xdr:cNvPr id="251" name="Straight Arrow Connector 250">
          <a:extLst>
            <a:ext uri="{FF2B5EF4-FFF2-40B4-BE49-F238E27FC236}">
              <a16:creationId xmlns:a16="http://schemas.microsoft.com/office/drawing/2014/main" id="{7D1B7E38-11F7-4A13-B34B-B47B07CCB21E}"/>
            </a:ext>
          </a:extLst>
        </xdr:cNvPr>
        <xdr:cNvCxnSpPr/>
      </xdr:nvCxnSpPr>
      <xdr:spPr>
        <a:xfrm>
          <a:off x="2174080" y="1181097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673894</xdr:colOff>
      <xdr:row>5</xdr:row>
      <xdr:rowOff>33334</xdr:rowOff>
    </xdr:from>
    <xdr:to>
      <xdr:col>3</xdr:col>
      <xdr:colOff>673894</xdr:colOff>
      <xdr:row>6</xdr:row>
      <xdr:rowOff>140490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3B59064E-1EED-4C17-8CF1-8109E954AC5F}"/>
            </a:ext>
          </a:extLst>
        </xdr:cNvPr>
        <xdr:cNvCxnSpPr/>
      </xdr:nvCxnSpPr>
      <xdr:spPr>
        <a:xfrm>
          <a:off x="2439194" y="1176334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</xdr:row>
      <xdr:rowOff>133350</xdr:rowOff>
    </xdr:from>
    <xdr:to>
      <xdr:col>3</xdr:col>
      <xdr:colOff>565842</xdr:colOff>
      <xdr:row>5</xdr:row>
      <xdr:rowOff>37130</xdr:rowOff>
    </xdr:to>
    <xdr:grpSp>
      <xdr:nvGrpSpPr>
        <xdr:cNvPr id="253" name="Group 252">
          <a:extLst>
            <a:ext uri="{FF2B5EF4-FFF2-40B4-BE49-F238E27FC236}">
              <a16:creationId xmlns:a16="http://schemas.microsoft.com/office/drawing/2014/main" id="{80447A6E-A8CB-4B04-B70B-C0A966AF98E0}"/>
            </a:ext>
          </a:extLst>
        </xdr:cNvPr>
        <xdr:cNvGrpSpPr/>
      </xdr:nvGrpSpPr>
      <xdr:grpSpPr>
        <a:xfrm>
          <a:off x="2019300" y="895350"/>
          <a:ext cx="375342" cy="265730"/>
          <a:chOff x="1304924" y="1639958"/>
          <a:chExt cx="375342" cy="291271"/>
        </a:xfrm>
      </xdr:grpSpPr>
      <xdr:sp macro="" textlink="">
        <xdr:nvSpPr>
          <xdr:cNvPr id="254" name="Hexagon 253">
            <a:extLst>
              <a:ext uri="{FF2B5EF4-FFF2-40B4-BE49-F238E27FC236}">
                <a16:creationId xmlns:a16="http://schemas.microsoft.com/office/drawing/2014/main" id="{7E24A4DD-FCF6-8DA5-B6B4-CE7DA74D358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918A5B89-F0F4-D6C6-C673-0796E5B63ECB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38</a:t>
            </a:r>
          </a:p>
        </xdr:txBody>
      </xdr:sp>
    </xdr:grpSp>
    <xdr:clientData/>
  </xdr:twoCellAnchor>
  <xdr:twoCellAnchor>
    <xdr:from>
      <xdr:col>3</xdr:col>
      <xdr:colOff>519113</xdr:colOff>
      <xdr:row>3</xdr:row>
      <xdr:rowOff>130968</xdr:rowOff>
    </xdr:from>
    <xdr:to>
      <xdr:col>4</xdr:col>
      <xdr:colOff>952</xdr:colOff>
      <xdr:row>5</xdr:row>
      <xdr:rowOff>20462</xdr:rowOff>
    </xdr:to>
    <xdr:grpSp>
      <xdr:nvGrpSpPr>
        <xdr:cNvPr id="256" name="Group 255">
          <a:extLst>
            <a:ext uri="{FF2B5EF4-FFF2-40B4-BE49-F238E27FC236}">
              <a16:creationId xmlns:a16="http://schemas.microsoft.com/office/drawing/2014/main" id="{E58AC42F-FD71-4826-9D13-4B09345FE3CA}"/>
            </a:ext>
          </a:extLst>
        </xdr:cNvPr>
        <xdr:cNvGrpSpPr/>
      </xdr:nvGrpSpPr>
      <xdr:grpSpPr>
        <a:xfrm>
          <a:off x="2347913" y="892968"/>
          <a:ext cx="91439" cy="251444"/>
          <a:chOff x="1304924" y="1639958"/>
          <a:chExt cx="375342" cy="291271"/>
        </a:xfrm>
      </xdr:grpSpPr>
      <xdr:sp macro="" textlink="">
        <xdr:nvSpPr>
          <xdr:cNvPr id="257" name="Hexagon 256">
            <a:extLst>
              <a:ext uri="{FF2B5EF4-FFF2-40B4-BE49-F238E27FC236}">
                <a16:creationId xmlns:a16="http://schemas.microsoft.com/office/drawing/2014/main" id="{7043D9E8-EC9C-856E-B2AE-E2C9797F11E2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5C018B00-F97B-E441-6C67-FB81AB0F5876}"/>
              </a:ext>
            </a:extLst>
          </xdr:cNvPr>
          <xdr:cNvSpPr txBox="1"/>
        </xdr:nvSpPr>
        <xdr:spPr>
          <a:xfrm>
            <a:off x="1304924" y="1659340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39</a:t>
            </a:r>
          </a:p>
        </xdr:txBody>
      </xdr:sp>
    </xdr:grpSp>
    <xdr:clientData/>
  </xdr:twoCellAnchor>
  <xdr:twoCellAnchor>
    <xdr:from>
      <xdr:col>3</xdr:col>
      <xdr:colOff>345281</xdr:colOff>
      <xdr:row>6</xdr:row>
      <xdr:rowOff>142875</xdr:rowOff>
    </xdr:from>
    <xdr:to>
      <xdr:col>4</xdr:col>
      <xdr:colOff>71437</xdr:colOff>
      <xdr:row>6</xdr:row>
      <xdr:rowOff>142875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FB5E265D-813B-4F18-B013-DE68B28364E1}"/>
            </a:ext>
          </a:extLst>
        </xdr:cNvPr>
        <xdr:cNvCxnSpPr/>
      </xdr:nvCxnSpPr>
      <xdr:spPr>
        <a:xfrm>
          <a:off x="2174081" y="1470025"/>
          <a:ext cx="33575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607853</xdr:colOff>
      <xdr:row>3</xdr:row>
      <xdr:rowOff>130969</xdr:rowOff>
    </xdr:from>
    <xdr:to>
      <xdr:col>4</xdr:col>
      <xdr:colOff>280091</xdr:colOff>
      <xdr:row>5</xdr:row>
      <xdr:rowOff>34749</xdr:rowOff>
    </xdr:to>
    <xdr:grpSp>
      <xdr:nvGrpSpPr>
        <xdr:cNvPr id="260" name="Group 259">
          <a:extLst>
            <a:ext uri="{FF2B5EF4-FFF2-40B4-BE49-F238E27FC236}">
              <a16:creationId xmlns:a16="http://schemas.microsoft.com/office/drawing/2014/main" id="{28BF1472-989F-4FFA-8BDE-1D54FCFDAE18}"/>
            </a:ext>
          </a:extLst>
        </xdr:cNvPr>
        <xdr:cNvGrpSpPr/>
      </xdr:nvGrpSpPr>
      <xdr:grpSpPr>
        <a:xfrm>
          <a:off x="2436653" y="892969"/>
          <a:ext cx="281838" cy="265730"/>
          <a:chOff x="1614485" y="1639960"/>
          <a:chExt cx="375342" cy="291271"/>
        </a:xfrm>
      </xdr:grpSpPr>
      <xdr:sp macro="" textlink="">
        <xdr:nvSpPr>
          <xdr:cNvPr id="261" name="Hexagon 260">
            <a:extLst>
              <a:ext uri="{FF2B5EF4-FFF2-40B4-BE49-F238E27FC236}">
                <a16:creationId xmlns:a16="http://schemas.microsoft.com/office/drawing/2014/main" id="{E60B2515-954E-5935-0AB6-0511C3A81623}"/>
              </a:ext>
            </a:extLst>
          </xdr:cNvPr>
          <xdr:cNvSpPr/>
        </xdr:nvSpPr>
        <xdr:spPr>
          <a:xfrm rot="5400000">
            <a:off x="1629812" y="1647552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2F7B6DD8-C1A6-8727-FB65-5CF40B94FE7B}"/>
              </a:ext>
            </a:extLst>
          </xdr:cNvPr>
          <xdr:cNvSpPr txBox="1"/>
        </xdr:nvSpPr>
        <xdr:spPr>
          <a:xfrm>
            <a:off x="1614485" y="1671518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40</a:t>
            </a:r>
          </a:p>
        </xdr:txBody>
      </xdr:sp>
    </xdr:grpSp>
    <xdr:clientData/>
  </xdr:twoCellAnchor>
  <xdr:twoCellAnchor>
    <xdr:from>
      <xdr:col>4</xdr:col>
      <xdr:colOff>71437</xdr:colOff>
      <xdr:row>5</xdr:row>
      <xdr:rowOff>59531</xdr:rowOff>
    </xdr:from>
    <xdr:to>
      <xdr:col>4</xdr:col>
      <xdr:colOff>71437</xdr:colOff>
      <xdr:row>6</xdr:row>
      <xdr:rowOff>166687</xdr:rowOff>
    </xdr:to>
    <xdr:cxnSp macro="">
      <xdr:nvCxnSpPr>
        <xdr:cNvPr id="263" name="Straight Arrow Connector 262">
          <a:extLst>
            <a:ext uri="{FF2B5EF4-FFF2-40B4-BE49-F238E27FC236}">
              <a16:creationId xmlns:a16="http://schemas.microsoft.com/office/drawing/2014/main" id="{4F29064B-82FF-4779-B191-7AD495FEBFCD}"/>
            </a:ext>
          </a:extLst>
        </xdr:cNvPr>
        <xdr:cNvCxnSpPr/>
      </xdr:nvCxnSpPr>
      <xdr:spPr>
        <a:xfrm>
          <a:off x="2509837" y="1202531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242889</xdr:colOff>
      <xdr:row>17</xdr:row>
      <xdr:rowOff>23813</xdr:rowOff>
    </xdr:from>
    <xdr:to>
      <xdr:col>15</xdr:col>
      <xdr:colOff>242889</xdr:colOff>
      <xdr:row>19</xdr:row>
      <xdr:rowOff>23812</xdr:rowOff>
    </xdr:to>
    <xdr:cxnSp macro="">
      <xdr:nvCxnSpPr>
        <xdr:cNvPr id="264" name="Straight Arrow Connector 263">
          <a:extLst>
            <a:ext uri="{FF2B5EF4-FFF2-40B4-BE49-F238E27FC236}">
              <a16:creationId xmlns:a16="http://schemas.microsoft.com/office/drawing/2014/main" id="{728AC643-1B23-49ED-B1F3-C532F87F98E7}"/>
            </a:ext>
          </a:extLst>
        </xdr:cNvPr>
        <xdr:cNvCxnSpPr/>
      </xdr:nvCxnSpPr>
      <xdr:spPr>
        <a:xfrm>
          <a:off x="9386889" y="3376613"/>
          <a:ext cx="0" cy="368299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83344</xdr:colOff>
      <xdr:row>19</xdr:row>
      <xdr:rowOff>7145</xdr:rowOff>
    </xdr:from>
    <xdr:to>
      <xdr:col>15</xdr:col>
      <xdr:colOff>458686</xdr:colOff>
      <xdr:row>20</xdr:row>
      <xdr:rowOff>101425</xdr:rowOff>
    </xdr:to>
    <xdr:grpSp>
      <xdr:nvGrpSpPr>
        <xdr:cNvPr id="265" name="Group 264">
          <a:extLst>
            <a:ext uri="{FF2B5EF4-FFF2-40B4-BE49-F238E27FC236}">
              <a16:creationId xmlns:a16="http://schemas.microsoft.com/office/drawing/2014/main" id="{D8128BA0-23EE-4700-A439-82181C8DF558}"/>
            </a:ext>
          </a:extLst>
        </xdr:cNvPr>
        <xdr:cNvGrpSpPr/>
      </xdr:nvGrpSpPr>
      <xdr:grpSpPr>
        <a:xfrm>
          <a:off x="9227344" y="3664745"/>
          <a:ext cx="375342" cy="275255"/>
          <a:chOff x="1304924" y="1639958"/>
          <a:chExt cx="375342" cy="291271"/>
        </a:xfrm>
      </xdr:grpSpPr>
      <xdr:sp macro="" textlink="">
        <xdr:nvSpPr>
          <xdr:cNvPr id="266" name="Hexagon 265">
            <a:extLst>
              <a:ext uri="{FF2B5EF4-FFF2-40B4-BE49-F238E27FC236}">
                <a16:creationId xmlns:a16="http://schemas.microsoft.com/office/drawing/2014/main" id="{249980CF-6C85-78A2-3A24-FA043CA8324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E03CFE39-F796-9F47-6152-FA4EC5FEB635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41</a:t>
            </a:r>
          </a:p>
        </xdr:txBody>
      </xdr:sp>
    </xdr:grpSp>
    <xdr:clientData/>
  </xdr:twoCellAnchor>
  <xdr:twoCellAnchor>
    <xdr:from>
      <xdr:col>25</xdr:col>
      <xdr:colOff>166689</xdr:colOff>
      <xdr:row>18</xdr:row>
      <xdr:rowOff>166688</xdr:rowOff>
    </xdr:from>
    <xdr:to>
      <xdr:col>25</xdr:col>
      <xdr:colOff>773907</xdr:colOff>
      <xdr:row>23</xdr:row>
      <xdr:rowOff>11906</xdr:rowOff>
    </xdr:to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34F71C9D-14DF-417C-AFE0-F857966F6D05}"/>
            </a:ext>
          </a:extLst>
        </xdr:cNvPr>
        <xdr:cNvSpPr txBox="1"/>
      </xdr:nvSpPr>
      <xdr:spPr>
        <a:xfrm>
          <a:off x="15406689" y="3703638"/>
          <a:ext cx="442118" cy="765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>
              <a:solidFill>
                <a:schemeClr val="bg1"/>
              </a:solidFill>
            </a:rPr>
            <a:t>Strong/ Weak HX-1</a:t>
          </a:r>
        </a:p>
      </xdr:txBody>
    </xdr:sp>
    <xdr:clientData/>
  </xdr:twoCellAnchor>
  <xdr:twoCellAnchor>
    <xdr:from>
      <xdr:col>23</xdr:col>
      <xdr:colOff>95250</xdr:colOff>
      <xdr:row>10</xdr:row>
      <xdr:rowOff>0</xdr:rowOff>
    </xdr:from>
    <xdr:to>
      <xdr:col>23</xdr:col>
      <xdr:colOff>702469</xdr:colOff>
      <xdr:row>13</xdr:row>
      <xdr:rowOff>178592</xdr:rowOff>
    </xdr:to>
    <xdr:sp macro="" textlink="">
      <xdr:nvSpPr>
        <xdr:cNvPr id="269" name="Rectangle 268">
          <a:extLst>
            <a:ext uri="{FF2B5EF4-FFF2-40B4-BE49-F238E27FC236}">
              <a16:creationId xmlns:a16="http://schemas.microsoft.com/office/drawing/2014/main" id="{846754E2-0D7A-4B1A-8173-6DF3C1AF085C}"/>
            </a:ext>
          </a:extLst>
        </xdr:cNvPr>
        <xdr:cNvSpPr/>
      </xdr:nvSpPr>
      <xdr:spPr>
        <a:xfrm>
          <a:off x="14116050" y="2063750"/>
          <a:ext cx="511969" cy="73104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23813</xdr:colOff>
      <xdr:row>10</xdr:row>
      <xdr:rowOff>-1</xdr:rowOff>
    </xdr:from>
    <xdr:to>
      <xdr:col>23</xdr:col>
      <xdr:colOff>773906</xdr:colOff>
      <xdr:row>14</xdr:row>
      <xdr:rowOff>35717</xdr:rowOff>
    </xdr:to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FC7D8507-8466-4D2D-A180-8408CE39D9FF}"/>
            </a:ext>
          </a:extLst>
        </xdr:cNvPr>
        <xdr:cNvSpPr txBox="1"/>
      </xdr:nvSpPr>
      <xdr:spPr>
        <a:xfrm>
          <a:off x="14044613" y="2063749"/>
          <a:ext cx="584993" cy="772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solidFill>
                <a:schemeClr val="bg1"/>
              </a:solidFill>
            </a:rPr>
            <a:t>Supt/      Cold Water </a:t>
          </a:r>
          <a:r>
            <a:rPr lang="en-US" sz="1100">
              <a:solidFill>
                <a:schemeClr val="bg1"/>
              </a:solidFill>
            </a:rPr>
            <a:t>HX-4</a:t>
          </a:r>
        </a:p>
      </xdr:txBody>
    </xdr:sp>
    <xdr:clientData/>
  </xdr:twoCellAnchor>
  <xdr:twoCellAnchor>
    <xdr:from>
      <xdr:col>23</xdr:col>
      <xdr:colOff>559593</xdr:colOff>
      <xdr:row>5</xdr:row>
      <xdr:rowOff>71436</xdr:rowOff>
    </xdr:from>
    <xdr:to>
      <xdr:col>24</xdr:col>
      <xdr:colOff>321468</xdr:colOff>
      <xdr:row>5</xdr:row>
      <xdr:rowOff>71436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1BC64D42-FAAA-43E5-A6E5-9F630A9872C6}"/>
            </a:ext>
          </a:extLst>
        </xdr:cNvPr>
        <xdr:cNvCxnSpPr/>
      </xdr:nvCxnSpPr>
      <xdr:spPr>
        <a:xfrm>
          <a:off x="14580393" y="1214436"/>
          <a:ext cx="371475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297657</xdr:colOff>
      <xdr:row>5</xdr:row>
      <xdr:rowOff>59531</xdr:rowOff>
    </xdr:from>
    <xdr:to>
      <xdr:col>24</xdr:col>
      <xdr:colOff>297657</xdr:colOff>
      <xdr:row>10</xdr:row>
      <xdr:rowOff>47625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C9F477C1-199D-40EC-96E4-082F35C62560}"/>
            </a:ext>
          </a:extLst>
        </xdr:cNvPr>
        <xdr:cNvCxnSpPr/>
      </xdr:nvCxnSpPr>
      <xdr:spPr>
        <a:xfrm>
          <a:off x="14928057" y="1202531"/>
          <a:ext cx="0" cy="908844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702469</xdr:colOff>
      <xdr:row>10</xdr:row>
      <xdr:rowOff>35717</xdr:rowOff>
    </xdr:from>
    <xdr:to>
      <xdr:col>24</xdr:col>
      <xdr:colOff>297656</xdr:colOff>
      <xdr:row>10</xdr:row>
      <xdr:rowOff>35717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8C998573-1826-4FBA-8FC1-3F6CFCFC797D}"/>
            </a:ext>
          </a:extLst>
        </xdr:cNvPr>
        <xdr:cNvCxnSpPr/>
      </xdr:nvCxnSpPr>
      <xdr:spPr>
        <a:xfrm flipH="1">
          <a:off x="14628019" y="2099467"/>
          <a:ext cx="300037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4</xdr:row>
      <xdr:rowOff>35719</xdr:rowOff>
    </xdr:from>
    <xdr:to>
      <xdr:col>22</xdr:col>
      <xdr:colOff>491229</xdr:colOff>
      <xdr:row>6</xdr:row>
      <xdr:rowOff>179387</xdr:rowOff>
    </xdr:to>
    <xdr:grpSp>
      <xdr:nvGrpSpPr>
        <xdr:cNvPr id="274" name="Group 273">
          <a:extLst>
            <a:ext uri="{FF2B5EF4-FFF2-40B4-BE49-F238E27FC236}">
              <a16:creationId xmlns:a16="http://schemas.microsoft.com/office/drawing/2014/main" id="{AB9AB48C-5390-4BCF-9158-2837755425BD}"/>
            </a:ext>
          </a:extLst>
        </xdr:cNvPr>
        <xdr:cNvGrpSpPr/>
      </xdr:nvGrpSpPr>
      <xdr:grpSpPr>
        <a:xfrm>
          <a:off x="13577887" y="978694"/>
          <a:ext cx="324542" cy="505618"/>
          <a:chOff x="1304924" y="1639958"/>
          <a:chExt cx="324542" cy="534227"/>
        </a:xfrm>
      </xdr:grpSpPr>
      <xdr:sp macro="" textlink="">
        <xdr:nvSpPr>
          <xdr:cNvPr id="275" name="Hexagon 274">
            <a:extLst>
              <a:ext uri="{FF2B5EF4-FFF2-40B4-BE49-F238E27FC236}">
                <a16:creationId xmlns:a16="http://schemas.microsoft.com/office/drawing/2014/main" id="{AA9285CD-7276-790D-5FA8-7A871913A8D8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76" name="Group 275">
            <a:extLst>
              <a:ext uri="{FF2B5EF4-FFF2-40B4-BE49-F238E27FC236}">
                <a16:creationId xmlns:a16="http://schemas.microsoft.com/office/drawing/2014/main" id="{1930F6B8-E40E-ED7E-8B8E-C27A4FBDBDC2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277" name="Straight Connector 276">
              <a:extLst>
                <a:ext uri="{FF2B5EF4-FFF2-40B4-BE49-F238E27FC236}">
                  <a16:creationId xmlns:a16="http://schemas.microsoft.com/office/drawing/2014/main" id="{32ED61AE-A2C1-5C87-96AD-0C82B59BC00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9499CDD2-7CE6-F06D-AF34-91F20DF308EE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20</a:t>
              </a:r>
            </a:p>
          </xdr:txBody>
        </xdr:sp>
      </xdr:grpSp>
    </xdr:grpSp>
    <xdr:clientData/>
  </xdr:twoCellAnchor>
  <xdr:twoCellAnchor>
    <xdr:from>
      <xdr:col>22</xdr:col>
      <xdr:colOff>511968</xdr:colOff>
      <xdr:row>5</xdr:row>
      <xdr:rowOff>71438</xdr:rowOff>
    </xdr:from>
    <xdr:to>
      <xdr:col>23</xdr:col>
      <xdr:colOff>59531</xdr:colOff>
      <xdr:row>5</xdr:row>
      <xdr:rowOff>71438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2F000E82-E7D6-4C3D-ACF5-9ABF77A19814}"/>
            </a:ext>
          </a:extLst>
        </xdr:cNvPr>
        <xdr:cNvCxnSpPr/>
      </xdr:nvCxnSpPr>
      <xdr:spPr>
        <a:xfrm>
          <a:off x="13923168" y="1214438"/>
          <a:ext cx="157163" cy="0"/>
        </a:xfrm>
        <a:prstGeom prst="line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511969</xdr:colOff>
      <xdr:row>5</xdr:row>
      <xdr:rowOff>71438</xdr:rowOff>
    </xdr:from>
    <xdr:to>
      <xdr:col>22</xdr:col>
      <xdr:colOff>511969</xdr:colOff>
      <xdr:row>10</xdr:row>
      <xdr:rowOff>47624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88B8E07E-05B1-43EB-9732-9073FE549A81}"/>
            </a:ext>
          </a:extLst>
        </xdr:cNvPr>
        <xdr:cNvCxnSpPr/>
      </xdr:nvCxnSpPr>
      <xdr:spPr>
        <a:xfrm>
          <a:off x="13923169" y="1214438"/>
          <a:ext cx="0" cy="896936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523875</xdr:colOff>
      <xdr:row>10</xdr:row>
      <xdr:rowOff>47625</xdr:rowOff>
    </xdr:from>
    <xdr:to>
      <xdr:col>23</xdr:col>
      <xdr:colOff>95249</xdr:colOff>
      <xdr:row>10</xdr:row>
      <xdr:rowOff>47625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9ACA6BE7-E976-4482-9858-2E3C50D451EB}"/>
            </a:ext>
          </a:extLst>
        </xdr:cNvPr>
        <xdr:cNvCxnSpPr/>
      </xdr:nvCxnSpPr>
      <xdr:spPr>
        <a:xfrm>
          <a:off x="13935075" y="2111375"/>
          <a:ext cx="180974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136922</xdr:colOff>
      <xdr:row>6</xdr:row>
      <xdr:rowOff>77391</xdr:rowOff>
    </xdr:from>
    <xdr:to>
      <xdr:col>24</xdr:col>
      <xdr:colOff>458390</xdr:colOff>
      <xdr:row>8</xdr:row>
      <xdr:rowOff>5953</xdr:rowOff>
    </xdr:to>
    <xdr:grpSp>
      <xdr:nvGrpSpPr>
        <xdr:cNvPr id="282" name="Group 281">
          <a:extLst>
            <a:ext uri="{FF2B5EF4-FFF2-40B4-BE49-F238E27FC236}">
              <a16:creationId xmlns:a16="http://schemas.microsoft.com/office/drawing/2014/main" id="{B249428F-9B94-426E-8653-E53A14FC7840}"/>
            </a:ext>
          </a:extLst>
        </xdr:cNvPr>
        <xdr:cNvGrpSpPr/>
      </xdr:nvGrpSpPr>
      <xdr:grpSpPr>
        <a:xfrm rot="5400000">
          <a:off x="14782800" y="1366838"/>
          <a:ext cx="290512" cy="321468"/>
          <a:chOff x="6453188" y="3298031"/>
          <a:chExt cx="309562" cy="321468"/>
        </a:xfrm>
      </xdr:grpSpPr>
      <xdr:sp macro="" textlink="">
        <xdr:nvSpPr>
          <xdr:cNvPr id="283" name="Oval 282">
            <a:extLst>
              <a:ext uri="{FF2B5EF4-FFF2-40B4-BE49-F238E27FC236}">
                <a16:creationId xmlns:a16="http://schemas.microsoft.com/office/drawing/2014/main" id="{4370A0CC-169E-0836-DE2E-1F7A1174748A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4" name="Isosceles Triangle 283">
            <a:extLst>
              <a:ext uri="{FF2B5EF4-FFF2-40B4-BE49-F238E27FC236}">
                <a16:creationId xmlns:a16="http://schemas.microsoft.com/office/drawing/2014/main" id="{B2E9440C-D8E5-F985-AB1A-DF36A3678041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202405</xdr:colOff>
      <xdr:row>10</xdr:row>
      <xdr:rowOff>59531</xdr:rowOff>
    </xdr:from>
    <xdr:to>
      <xdr:col>24</xdr:col>
      <xdr:colOff>546790</xdr:colOff>
      <xdr:row>12</xdr:row>
      <xdr:rowOff>181008</xdr:rowOff>
    </xdr:to>
    <xdr:grpSp>
      <xdr:nvGrpSpPr>
        <xdr:cNvPr id="285" name="Group 284">
          <a:extLst>
            <a:ext uri="{FF2B5EF4-FFF2-40B4-BE49-F238E27FC236}">
              <a16:creationId xmlns:a16="http://schemas.microsoft.com/office/drawing/2014/main" id="{22307468-CCD2-45AA-9744-989E6362E66C}"/>
            </a:ext>
          </a:extLst>
        </xdr:cNvPr>
        <xdr:cNvGrpSpPr/>
      </xdr:nvGrpSpPr>
      <xdr:grpSpPr>
        <a:xfrm>
          <a:off x="14832805" y="2088356"/>
          <a:ext cx="344385" cy="483427"/>
          <a:chOff x="1295399" y="1639958"/>
          <a:chExt cx="346767" cy="534227"/>
        </a:xfrm>
      </xdr:grpSpPr>
      <xdr:sp macro="" textlink="">
        <xdr:nvSpPr>
          <xdr:cNvPr id="286" name="Hexagon 285">
            <a:extLst>
              <a:ext uri="{FF2B5EF4-FFF2-40B4-BE49-F238E27FC236}">
                <a16:creationId xmlns:a16="http://schemas.microsoft.com/office/drawing/2014/main" id="{8239A34F-BDD3-59E6-301D-D2B741BA4C6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87" name="Group 286">
            <a:extLst>
              <a:ext uri="{FF2B5EF4-FFF2-40B4-BE49-F238E27FC236}">
                <a16:creationId xmlns:a16="http://schemas.microsoft.com/office/drawing/2014/main" id="{8004E0D9-8560-E3A0-5BB3-4255147E7236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288" name="Straight Connector 287">
              <a:extLst>
                <a:ext uri="{FF2B5EF4-FFF2-40B4-BE49-F238E27FC236}">
                  <a16:creationId xmlns:a16="http://schemas.microsoft.com/office/drawing/2014/main" id="{1B5544FA-F80D-35D9-1957-7BE567F6B2B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A0193209-123B-AF17-0170-96862EAADABA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18</a:t>
              </a:r>
            </a:p>
          </xdr:txBody>
        </xdr:sp>
      </xdr:grpSp>
    </xdr:grpSp>
    <xdr:clientData/>
  </xdr:twoCellAnchor>
  <xdr:twoCellAnchor>
    <xdr:from>
      <xdr:col>22</xdr:col>
      <xdr:colOff>392906</xdr:colOff>
      <xdr:row>13</xdr:row>
      <xdr:rowOff>0</xdr:rowOff>
    </xdr:from>
    <xdr:to>
      <xdr:col>23</xdr:col>
      <xdr:colOff>71437</xdr:colOff>
      <xdr:row>13</xdr:row>
      <xdr:rowOff>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D0AF22CB-A7F2-43B2-915F-EB713782F48A}"/>
            </a:ext>
          </a:extLst>
        </xdr:cNvPr>
        <xdr:cNvCxnSpPr/>
      </xdr:nvCxnSpPr>
      <xdr:spPr>
        <a:xfrm flipH="1">
          <a:off x="13804106" y="2616200"/>
          <a:ext cx="28813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78087</xdr:colOff>
      <xdr:row>4</xdr:row>
      <xdr:rowOff>6865</xdr:rowOff>
    </xdr:from>
    <xdr:to>
      <xdr:col>23</xdr:col>
      <xdr:colOff>621488</xdr:colOff>
      <xdr:row>7</xdr:row>
      <xdr:rowOff>4862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4E9B1A49-2F86-4F52-A900-BBF171392D83}"/>
            </a:ext>
          </a:extLst>
        </xdr:cNvPr>
        <xdr:cNvSpPr/>
      </xdr:nvSpPr>
      <xdr:spPr>
        <a:xfrm>
          <a:off x="14098887" y="965715"/>
          <a:ext cx="530701" cy="55044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95250</xdr:colOff>
      <xdr:row>4</xdr:row>
      <xdr:rowOff>142876</xdr:rowOff>
    </xdr:from>
    <xdr:to>
      <xdr:col>24</xdr:col>
      <xdr:colOff>41190</xdr:colOff>
      <xdr:row>6</xdr:row>
      <xdr:rowOff>58209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959FE12E-61D0-4972-9CF6-2A6AB3119869}"/>
            </a:ext>
          </a:extLst>
        </xdr:cNvPr>
        <xdr:cNvSpPr txBox="1"/>
      </xdr:nvSpPr>
      <xdr:spPr>
        <a:xfrm>
          <a:off x="14116050" y="1101726"/>
          <a:ext cx="555540" cy="283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Cooler</a:t>
          </a:r>
          <a:endParaRPr lang="en-US" sz="1100"/>
        </a:p>
      </xdr:txBody>
    </xdr:sp>
    <xdr:clientData/>
  </xdr:twoCellAnchor>
  <xdr:twoCellAnchor>
    <xdr:from>
      <xdr:col>22</xdr:col>
      <xdr:colOff>333375</xdr:colOff>
      <xdr:row>7</xdr:row>
      <xdr:rowOff>0</xdr:rowOff>
    </xdr:from>
    <xdr:to>
      <xdr:col>22</xdr:col>
      <xdr:colOff>511970</xdr:colOff>
      <xdr:row>7</xdr:row>
      <xdr:rowOff>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6D188090-0CAF-4746-B71C-64EEFAF7BEAC}"/>
            </a:ext>
          </a:extLst>
        </xdr:cNvPr>
        <xdr:cNvCxnSpPr/>
      </xdr:nvCxnSpPr>
      <xdr:spPr>
        <a:xfrm flipH="1">
          <a:off x="13744575" y="1511300"/>
          <a:ext cx="1785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9</xdr:row>
      <xdr:rowOff>1</xdr:rowOff>
    </xdr:from>
    <xdr:to>
      <xdr:col>24</xdr:col>
      <xdr:colOff>666750</xdr:colOff>
      <xdr:row>9</xdr:row>
      <xdr:rowOff>1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534E48A6-274E-4E1C-AC69-CF6517065618}"/>
            </a:ext>
          </a:extLst>
        </xdr:cNvPr>
        <xdr:cNvCxnSpPr/>
      </xdr:nvCxnSpPr>
      <xdr:spPr>
        <a:xfrm flipH="1">
          <a:off x="14928056" y="1879601"/>
          <a:ext cx="31194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488155</xdr:colOff>
      <xdr:row>6</xdr:row>
      <xdr:rowOff>59531</xdr:rowOff>
    </xdr:from>
    <xdr:to>
      <xdr:col>25</xdr:col>
      <xdr:colOff>71436</xdr:colOff>
      <xdr:row>9</xdr:row>
      <xdr:rowOff>12699</xdr:rowOff>
    </xdr:to>
    <xdr:grpSp>
      <xdr:nvGrpSpPr>
        <xdr:cNvPr id="295" name="Group 294">
          <a:extLst>
            <a:ext uri="{FF2B5EF4-FFF2-40B4-BE49-F238E27FC236}">
              <a16:creationId xmlns:a16="http://schemas.microsoft.com/office/drawing/2014/main" id="{D1767FBC-4747-463C-A197-8C8357FA63BB}"/>
            </a:ext>
          </a:extLst>
        </xdr:cNvPr>
        <xdr:cNvGrpSpPr/>
      </xdr:nvGrpSpPr>
      <xdr:grpSpPr>
        <a:xfrm>
          <a:off x="15118555" y="1364456"/>
          <a:ext cx="192881" cy="496093"/>
          <a:chOff x="1304924" y="1639958"/>
          <a:chExt cx="324542" cy="534227"/>
        </a:xfrm>
      </xdr:grpSpPr>
      <xdr:sp macro="" textlink="">
        <xdr:nvSpPr>
          <xdr:cNvPr id="296" name="Hexagon 295">
            <a:extLst>
              <a:ext uri="{FF2B5EF4-FFF2-40B4-BE49-F238E27FC236}">
                <a16:creationId xmlns:a16="http://schemas.microsoft.com/office/drawing/2014/main" id="{FDC2C9D9-BAFF-D5F6-FA7B-BB70D8F35F0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97" name="Group 296">
            <a:extLst>
              <a:ext uri="{FF2B5EF4-FFF2-40B4-BE49-F238E27FC236}">
                <a16:creationId xmlns:a16="http://schemas.microsoft.com/office/drawing/2014/main" id="{0FB03EB5-902A-E2A5-639A-9257EF6D6C5A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298" name="Straight Connector 297">
              <a:extLst>
                <a:ext uri="{FF2B5EF4-FFF2-40B4-BE49-F238E27FC236}">
                  <a16:creationId xmlns:a16="http://schemas.microsoft.com/office/drawing/2014/main" id="{FC5272A4-11DA-28F3-D082-947F3BB0A1A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A42BCCC8-5574-34ED-0ED1-60B70D037B80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19</a:t>
              </a:r>
            </a:p>
          </xdr:txBody>
        </xdr:sp>
      </xdr:grpSp>
    </xdr:grpSp>
    <xdr:clientData/>
  </xdr:twoCellAnchor>
  <xdr:twoCellAnchor>
    <xdr:from>
      <xdr:col>20</xdr:col>
      <xdr:colOff>595312</xdr:colOff>
      <xdr:row>12</xdr:row>
      <xdr:rowOff>11907</xdr:rowOff>
    </xdr:from>
    <xdr:to>
      <xdr:col>21</xdr:col>
      <xdr:colOff>535781</xdr:colOff>
      <xdr:row>12</xdr:row>
      <xdr:rowOff>11907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FA0EDA47-5497-4AAA-9F3C-E8C62FEEC328}"/>
            </a:ext>
          </a:extLst>
        </xdr:cNvPr>
        <xdr:cNvCxnSpPr/>
      </xdr:nvCxnSpPr>
      <xdr:spPr>
        <a:xfrm flipH="1">
          <a:off x="12787312" y="2443957"/>
          <a:ext cx="55006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523875</xdr:colOff>
      <xdr:row>12</xdr:row>
      <xdr:rowOff>11906</xdr:rowOff>
    </xdr:from>
    <xdr:to>
      <xdr:col>21</xdr:col>
      <xdr:colOff>523875</xdr:colOff>
      <xdr:row>14</xdr:row>
      <xdr:rowOff>178593</xdr:rowOff>
    </xdr:to>
    <xdr:cxnSp macro="">
      <xdr:nvCxnSpPr>
        <xdr:cNvPr id="301" name="Straight Arrow Connector 300">
          <a:extLst>
            <a:ext uri="{FF2B5EF4-FFF2-40B4-BE49-F238E27FC236}">
              <a16:creationId xmlns:a16="http://schemas.microsoft.com/office/drawing/2014/main" id="{5AED9FCA-1330-47B6-B881-95BE28C944FE}"/>
            </a:ext>
          </a:extLst>
        </xdr:cNvPr>
        <xdr:cNvCxnSpPr/>
      </xdr:nvCxnSpPr>
      <xdr:spPr>
        <a:xfrm>
          <a:off x="13325475" y="2443956"/>
          <a:ext cx="0" cy="53498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606901</xdr:colOff>
      <xdr:row>6</xdr:row>
      <xdr:rowOff>35719</xdr:rowOff>
    </xdr:from>
    <xdr:to>
      <xdr:col>22</xdr:col>
      <xdr:colOff>241198</xdr:colOff>
      <xdr:row>8</xdr:row>
      <xdr:rowOff>179387</xdr:rowOff>
    </xdr:to>
    <xdr:grpSp>
      <xdr:nvGrpSpPr>
        <xdr:cNvPr id="302" name="Group 301">
          <a:extLst>
            <a:ext uri="{FF2B5EF4-FFF2-40B4-BE49-F238E27FC236}">
              <a16:creationId xmlns:a16="http://schemas.microsoft.com/office/drawing/2014/main" id="{63E4AC57-2BFC-4E0E-935B-1D3751474088}"/>
            </a:ext>
          </a:extLst>
        </xdr:cNvPr>
        <xdr:cNvGrpSpPr/>
      </xdr:nvGrpSpPr>
      <xdr:grpSpPr>
        <a:xfrm>
          <a:off x="13408501" y="1340644"/>
          <a:ext cx="243897" cy="505618"/>
          <a:chOff x="1304924" y="1639958"/>
          <a:chExt cx="324542" cy="534227"/>
        </a:xfrm>
      </xdr:grpSpPr>
      <xdr:sp macro="" textlink="">
        <xdr:nvSpPr>
          <xdr:cNvPr id="303" name="Hexagon 302">
            <a:extLst>
              <a:ext uri="{FF2B5EF4-FFF2-40B4-BE49-F238E27FC236}">
                <a16:creationId xmlns:a16="http://schemas.microsoft.com/office/drawing/2014/main" id="{1E051111-63B0-389F-D5F0-E1D152B8B3AF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4" name="Group 303">
            <a:extLst>
              <a:ext uri="{FF2B5EF4-FFF2-40B4-BE49-F238E27FC236}">
                <a16:creationId xmlns:a16="http://schemas.microsoft.com/office/drawing/2014/main" id="{54B48E96-87F1-FA3B-4C39-3037BAA2047F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05" name="Straight Connector 304">
              <a:extLst>
                <a:ext uri="{FF2B5EF4-FFF2-40B4-BE49-F238E27FC236}">
                  <a16:creationId xmlns:a16="http://schemas.microsoft.com/office/drawing/2014/main" id="{B964847D-A24D-0446-BFDF-5E9A04ECF63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787B3227-6FA3-F079-6CAF-6E15CF910257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21</a:t>
              </a:r>
            </a:p>
          </xdr:txBody>
        </xdr:sp>
      </xdr:grpSp>
    </xdr:grpSp>
    <xdr:clientData/>
  </xdr:twoCellAnchor>
  <xdr:twoCellAnchor>
    <xdr:from>
      <xdr:col>17</xdr:col>
      <xdr:colOff>190500</xdr:colOff>
      <xdr:row>6</xdr:row>
      <xdr:rowOff>107157</xdr:rowOff>
    </xdr:from>
    <xdr:to>
      <xdr:col>17</xdr:col>
      <xdr:colOff>521409</xdr:colOff>
      <xdr:row>8</xdr:row>
      <xdr:rowOff>181644</xdr:rowOff>
    </xdr:to>
    <xdr:grpSp>
      <xdr:nvGrpSpPr>
        <xdr:cNvPr id="307" name="Group 306">
          <a:extLst>
            <a:ext uri="{FF2B5EF4-FFF2-40B4-BE49-F238E27FC236}">
              <a16:creationId xmlns:a16="http://schemas.microsoft.com/office/drawing/2014/main" id="{99C07299-1276-4344-8490-BE9E3B1DEFB0}"/>
            </a:ext>
          </a:extLst>
        </xdr:cNvPr>
        <xdr:cNvGrpSpPr/>
      </xdr:nvGrpSpPr>
      <xdr:grpSpPr>
        <a:xfrm>
          <a:off x="10553700" y="1412082"/>
          <a:ext cx="330909" cy="436437"/>
          <a:chOff x="1304481" y="1639958"/>
          <a:chExt cx="334919" cy="534227"/>
        </a:xfrm>
      </xdr:grpSpPr>
      <xdr:sp macro="" textlink="">
        <xdr:nvSpPr>
          <xdr:cNvPr id="308" name="Hexagon 307">
            <a:extLst>
              <a:ext uri="{FF2B5EF4-FFF2-40B4-BE49-F238E27FC236}">
                <a16:creationId xmlns:a16="http://schemas.microsoft.com/office/drawing/2014/main" id="{D143EFA2-44E3-4823-3AFF-80335CA1DB98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9" name="Group 308">
            <a:extLst>
              <a:ext uri="{FF2B5EF4-FFF2-40B4-BE49-F238E27FC236}">
                <a16:creationId xmlns:a16="http://schemas.microsoft.com/office/drawing/2014/main" id="{22BE4BDD-E479-FE4C-6CC3-DB546469726B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310" name="Straight Connector 309">
              <a:extLst>
                <a:ext uri="{FF2B5EF4-FFF2-40B4-BE49-F238E27FC236}">
                  <a16:creationId xmlns:a16="http://schemas.microsoft.com/office/drawing/2014/main" id="{A61AE6AE-238E-B9D6-2938-B9BD0AAE258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23F7DC95-393D-411B-121B-690C70918BBA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23</a:t>
              </a:r>
            </a:p>
          </xdr:txBody>
        </xdr:sp>
      </xdr:grpSp>
    </xdr:grpSp>
    <xdr:clientData/>
  </xdr:twoCellAnchor>
  <xdr:twoCellAnchor>
    <xdr:from>
      <xdr:col>21</xdr:col>
      <xdr:colOff>71437</xdr:colOff>
      <xdr:row>9</xdr:row>
      <xdr:rowOff>71437</xdr:rowOff>
    </xdr:from>
    <xdr:to>
      <xdr:col>21</xdr:col>
      <xdr:colOff>415822</xdr:colOff>
      <xdr:row>12</xdr:row>
      <xdr:rowOff>2414</xdr:rowOff>
    </xdr:to>
    <xdr:grpSp>
      <xdr:nvGrpSpPr>
        <xdr:cNvPr id="312" name="Group 311">
          <a:extLst>
            <a:ext uri="{FF2B5EF4-FFF2-40B4-BE49-F238E27FC236}">
              <a16:creationId xmlns:a16="http://schemas.microsoft.com/office/drawing/2014/main" id="{78D87EA4-463D-409B-81CE-F4E4DBA98485}"/>
            </a:ext>
          </a:extLst>
        </xdr:cNvPr>
        <xdr:cNvGrpSpPr/>
      </xdr:nvGrpSpPr>
      <xdr:grpSpPr>
        <a:xfrm>
          <a:off x="12873037" y="1919287"/>
          <a:ext cx="344385" cy="473902"/>
          <a:chOff x="1295399" y="1639958"/>
          <a:chExt cx="346767" cy="534227"/>
        </a:xfrm>
      </xdr:grpSpPr>
      <xdr:sp macro="" textlink="">
        <xdr:nvSpPr>
          <xdr:cNvPr id="313" name="Hexagon 312">
            <a:extLst>
              <a:ext uri="{FF2B5EF4-FFF2-40B4-BE49-F238E27FC236}">
                <a16:creationId xmlns:a16="http://schemas.microsoft.com/office/drawing/2014/main" id="{29B1EDA0-C7F8-04A0-34F4-4F12E250ABD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14" name="Group 313">
            <a:extLst>
              <a:ext uri="{FF2B5EF4-FFF2-40B4-BE49-F238E27FC236}">
                <a16:creationId xmlns:a16="http://schemas.microsoft.com/office/drawing/2014/main" id="{85E757E0-64B4-33A0-63CB-2CA782D89F9C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315" name="Straight Connector 314">
              <a:extLst>
                <a:ext uri="{FF2B5EF4-FFF2-40B4-BE49-F238E27FC236}">
                  <a16:creationId xmlns:a16="http://schemas.microsoft.com/office/drawing/2014/main" id="{428EA6B5-E48E-10F8-E310-0068B22F3D1A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0DE3D4CA-D8E4-8FB0-432A-C639BCFE0652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24</a:t>
              </a:r>
            </a:p>
          </xdr:txBody>
        </xdr:sp>
      </xdr:grpSp>
    </xdr:grpSp>
    <xdr:clientData/>
  </xdr:twoCellAnchor>
  <xdr:twoCellAnchor>
    <xdr:from>
      <xdr:col>20</xdr:col>
      <xdr:colOff>0</xdr:colOff>
      <xdr:row>21</xdr:row>
      <xdr:rowOff>154781</xdr:rowOff>
    </xdr:from>
    <xdr:to>
      <xdr:col>21</xdr:col>
      <xdr:colOff>0</xdr:colOff>
      <xdr:row>25</xdr:row>
      <xdr:rowOff>142873</xdr:rowOff>
    </xdr:to>
    <xdr:sp macro="" textlink="">
      <xdr:nvSpPr>
        <xdr:cNvPr id="317" name="Rectangle 316">
          <a:extLst>
            <a:ext uri="{FF2B5EF4-FFF2-40B4-BE49-F238E27FC236}">
              <a16:creationId xmlns:a16="http://schemas.microsoft.com/office/drawing/2014/main" id="{9BEBDFEC-782E-41C0-9CB5-E0D12DE51E2E}"/>
            </a:ext>
          </a:extLst>
        </xdr:cNvPr>
        <xdr:cNvSpPr/>
      </xdr:nvSpPr>
      <xdr:spPr>
        <a:xfrm>
          <a:off x="12192000" y="4244181"/>
          <a:ext cx="609600" cy="72469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595312</xdr:colOff>
      <xdr:row>22</xdr:row>
      <xdr:rowOff>71437</xdr:rowOff>
    </xdr:from>
    <xdr:to>
      <xdr:col>19</xdr:col>
      <xdr:colOff>619124</xdr:colOff>
      <xdr:row>22</xdr:row>
      <xdr:rowOff>71437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E6B41B27-AF9F-4044-B346-005FBF243806}"/>
            </a:ext>
          </a:extLst>
        </xdr:cNvPr>
        <xdr:cNvCxnSpPr/>
      </xdr:nvCxnSpPr>
      <xdr:spPr>
        <a:xfrm flipH="1">
          <a:off x="10958512" y="4344987"/>
          <a:ext cx="12366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28</xdr:row>
      <xdr:rowOff>0</xdr:rowOff>
    </xdr:from>
    <xdr:to>
      <xdr:col>21</xdr:col>
      <xdr:colOff>0</xdr:colOff>
      <xdr:row>30</xdr:row>
      <xdr:rowOff>179916</xdr:rowOff>
    </xdr:to>
    <xdr:sp macro="" textlink="">
      <xdr:nvSpPr>
        <xdr:cNvPr id="319" name="Rectangle 318">
          <a:extLst>
            <a:ext uri="{FF2B5EF4-FFF2-40B4-BE49-F238E27FC236}">
              <a16:creationId xmlns:a16="http://schemas.microsoft.com/office/drawing/2014/main" id="{65555365-E0ED-45EC-AB1B-D5514042594B}"/>
            </a:ext>
          </a:extLst>
        </xdr:cNvPr>
        <xdr:cNvSpPr/>
      </xdr:nvSpPr>
      <xdr:spPr>
        <a:xfrm>
          <a:off x="12192000" y="5378450"/>
          <a:ext cx="609600" cy="54821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35719</xdr:colOff>
      <xdr:row>28</xdr:row>
      <xdr:rowOff>142875</xdr:rowOff>
    </xdr:from>
    <xdr:to>
      <xdr:col>21</xdr:col>
      <xdr:colOff>0</xdr:colOff>
      <xdr:row>30</xdr:row>
      <xdr:rowOff>58208</xdr:rowOff>
    </xdr:to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2FB5FB21-EC4C-4302-A8D6-01026EF72FE2}"/>
            </a:ext>
          </a:extLst>
        </xdr:cNvPr>
        <xdr:cNvSpPr txBox="1"/>
      </xdr:nvSpPr>
      <xdr:spPr>
        <a:xfrm>
          <a:off x="12227719" y="5521325"/>
          <a:ext cx="573881" cy="283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Cooler</a:t>
          </a:r>
          <a:endParaRPr lang="en-US" sz="1100"/>
        </a:p>
      </xdr:txBody>
    </xdr:sp>
    <xdr:clientData/>
  </xdr:twoCellAnchor>
  <xdr:twoCellAnchor>
    <xdr:from>
      <xdr:col>21</xdr:col>
      <xdr:colOff>381000</xdr:colOff>
      <xdr:row>26</xdr:row>
      <xdr:rowOff>59530</xdr:rowOff>
    </xdr:from>
    <xdr:to>
      <xdr:col>22</xdr:col>
      <xdr:colOff>1428</xdr:colOff>
      <xdr:row>27</xdr:row>
      <xdr:rowOff>178592</xdr:rowOff>
    </xdr:to>
    <xdr:grpSp>
      <xdr:nvGrpSpPr>
        <xdr:cNvPr id="321" name="Group 320">
          <a:extLst>
            <a:ext uri="{FF2B5EF4-FFF2-40B4-BE49-F238E27FC236}">
              <a16:creationId xmlns:a16="http://schemas.microsoft.com/office/drawing/2014/main" id="{62E9E509-7AB9-46EC-9738-A0048A1EB858}"/>
            </a:ext>
          </a:extLst>
        </xdr:cNvPr>
        <xdr:cNvGrpSpPr/>
      </xdr:nvGrpSpPr>
      <xdr:grpSpPr>
        <a:xfrm rot="5400000">
          <a:off x="13147595" y="5018960"/>
          <a:ext cx="300037" cy="230028"/>
          <a:chOff x="6453188" y="3298031"/>
          <a:chExt cx="309562" cy="321468"/>
        </a:xfrm>
      </xdr:grpSpPr>
      <xdr:sp macro="" textlink="">
        <xdr:nvSpPr>
          <xdr:cNvPr id="322" name="Oval 321">
            <a:extLst>
              <a:ext uri="{FF2B5EF4-FFF2-40B4-BE49-F238E27FC236}">
                <a16:creationId xmlns:a16="http://schemas.microsoft.com/office/drawing/2014/main" id="{6BFD15EE-94AF-4465-A0EE-518931A8685C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3" name="Isosceles Triangle 322">
            <a:extLst>
              <a:ext uri="{FF2B5EF4-FFF2-40B4-BE49-F238E27FC236}">
                <a16:creationId xmlns:a16="http://schemas.microsoft.com/office/drawing/2014/main" id="{83927C61-3673-309D-6657-B432E8B77F04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619125</xdr:colOff>
      <xdr:row>25</xdr:row>
      <xdr:rowOff>0</xdr:rowOff>
    </xdr:from>
    <xdr:to>
      <xdr:col>21</xdr:col>
      <xdr:colOff>547688</xdr:colOff>
      <xdr:row>25</xdr:row>
      <xdr:rowOff>0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2E94557F-FA6F-405D-812A-E1B4C2972865}"/>
            </a:ext>
          </a:extLst>
        </xdr:cNvPr>
        <xdr:cNvCxnSpPr/>
      </xdr:nvCxnSpPr>
      <xdr:spPr>
        <a:xfrm>
          <a:off x="12798425" y="4826000"/>
          <a:ext cx="550863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547687</xdr:colOff>
      <xdr:row>25</xdr:row>
      <xdr:rowOff>11906</xdr:rowOff>
    </xdr:from>
    <xdr:to>
      <xdr:col>21</xdr:col>
      <xdr:colOff>547687</xdr:colOff>
      <xdr:row>26</xdr:row>
      <xdr:rowOff>59531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02BE623B-3D14-40E3-A3AD-5B85408DA706}"/>
            </a:ext>
          </a:extLst>
        </xdr:cNvPr>
        <xdr:cNvCxnSpPr/>
      </xdr:nvCxnSpPr>
      <xdr:spPr>
        <a:xfrm>
          <a:off x="13349287" y="4837906"/>
          <a:ext cx="0" cy="231775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547688</xdr:colOff>
      <xdr:row>28</xdr:row>
      <xdr:rowOff>0</xdr:rowOff>
    </xdr:from>
    <xdr:to>
      <xdr:col>21</xdr:col>
      <xdr:colOff>547688</xdr:colOff>
      <xdr:row>29</xdr:row>
      <xdr:rowOff>119062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25AC2F0A-8F6C-4A32-82FD-96F9D18D6819}"/>
            </a:ext>
          </a:extLst>
        </xdr:cNvPr>
        <xdr:cNvCxnSpPr/>
      </xdr:nvCxnSpPr>
      <xdr:spPr>
        <a:xfrm>
          <a:off x="13349288" y="5378450"/>
          <a:ext cx="0" cy="303212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619124</xdr:colOff>
      <xdr:row>29</xdr:row>
      <xdr:rowOff>107156</xdr:rowOff>
    </xdr:from>
    <xdr:to>
      <xdr:col>21</xdr:col>
      <xdr:colOff>559594</xdr:colOff>
      <xdr:row>29</xdr:row>
      <xdr:rowOff>107156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DDD89B69-8C5A-4A06-8740-ADA44B36D659}"/>
            </a:ext>
          </a:extLst>
        </xdr:cNvPr>
        <xdr:cNvCxnSpPr/>
      </xdr:nvCxnSpPr>
      <xdr:spPr>
        <a:xfrm flipH="1">
          <a:off x="12804774" y="5669756"/>
          <a:ext cx="556420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29</xdr:row>
      <xdr:rowOff>119063</xdr:rowOff>
    </xdr:from>
    <xdr:to>
      <xdr:col>19</xdr:col>
      <xdr:colOff>607218</xdr:colOff>
      <xdr:row>29</xdr:row>
      <xdr:rowOff>119063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FF0F3AD2-1E15-41C4-8093-99140B93BC9A}"/>
            </a:ext>
          </a:extLst>
        </xdr:cNvPr>
        <xdr:cNvCxnSpPr/>
      </xdr:nvCxnSpPr>
      <xdr:spPr>
        <a:xfrm>
          <a:off x="11808619" y="5681663"/>
          <a:ext cx="380999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238124</xdr:colOff>
      <xdr:row>25</xdr:row>
      <xdr:rowOff>11906</xdr:rowOff>
    </xdr:from>
    <xdr:to>
      <xdr:col>19</xdr:col>
      <xdr:colOff>238124</xdr:colOff>
      <xdr:row>29</xdr:row>
      <xdr:rowOff>107155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7C964C07-7136-430F-801A-7174A0829550}"/>
            </a:ext>
          </a:extLst>
        </xdr:cNvPr>
        <xdr:cNvCxnSpPr/>
      </xdr:nvCxnSpPr>
      <xdr:spPr>
        <a:xfrm>
          <a:off x="11820524" y="4837906"/>
          <a:ext cx="0" cy="831849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25</xdr:row>
      <xdr:rowOff>11906</xdr:rowOff>
    </xdr:from>
    <xdr:to>
      <xdr:col>19</xdr:col>
      <xdr:colOff>607219</xdr:colOff>
      <xdr:row>25</xdr:row>
      <xdr:rowOff>11906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4F42E66A-BA17-413F-98A7-6D8006E1BAAC}"/>
            </a:ext>
          </a:extLst>
        </xdr:cNvPr>
        <xdr:cNvCxnSpPr/>
      </xdr:nvCxnSpPr>
      <xdr:spPr>
        <a:xfrm>
          <a:off x="11832431" y="4837906"/>
          <a:ext cx="357188" cy="0"/>
        </a:xfrm>
        <a:prstGeom prst="line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</xdr:row>
      <xdr:rowOff>130969</xdr:rowOff>
    </xdr:from>
    <xdr:to>
      <xdr:col>20</xdr:col>
      <xdr:colOff>607218</xdr:colOff>
      <xdr:row>25</xdr:row>
      <xdr:rowOff>166687</xdr:rowOff>
    </xdr:to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ED3E3B93-25CF-471E-8BAF-4B74BE0FF1BF}"/>
            </a:ext>
          </a:extLst>
        </xdr:cNvPr>
        <xdr:cNvSpPr txBox="1"/>
      </xdr:nvSpPr>
      <xdr:spPr>
        <a:xfrm>
          <a:off x="12192000" y="4220369"/>
          <a:ext cx="607218" cy="772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Strong/ Cold Water HX-5</a:t>
          </a:r>
        </a:p>
      </xdr:txBody>
    </xdr:sp>
    <xdr:clientData/>
  </xdr:twoCellAnchor>
  <xdr:twoCellAnchor>
    <xdr:from>
      <xdr:col>18</xdr:col>
      <xdr:colOff>464344</xdr:colOff>
      <xdr:row>19</xdr:row>
      <xdr:rowOff>107157</xdr:rowOff>
    </xdr:from>
    <xdr:to>
      <xdr:col>19</xdr:col>
      <xdr:colOff>157854</xdr:colOff>
      <xdr:row>22</xdr:row>
      <xdr:rowOff>60325</xdr:rowOff>
    </xdr:to>
    <xdr:grpSp>
      <xdr:nvGrpSpPr>
        <xdr:cNvPr id="332" name="Group 331">
          <a:extLst>
            <a:ext uri="{FF2B5EF4-FFF2-40B4-BE49-F238E27FC236}">
              <a16:creationId xmlns:a16="http://schemas.microsoft.com/office/drawing/2014/main" id="{370AB872-73A7-4865-BCF2-51FE3DF833BC}"/>
            </a:ext>
          </a:extLst>
        </xdr:cNvPr>
        <xdr:cNvGrpSpPr/>
      </xdr:nvGrpSpPr>
      <xdr:grpSpPr>
        <a:xfrm>
          <a:off x="11437144" y="3764757"/>
          <a:ext cx="303110" cy="496093"/>
          <a:chOff x="1304924" y="1639958"/>
          <a:chExt cx="324542" cy="534227"/>
        </a:xfrm>
      </xdr:grpSpPr>
      <xdr:sp macro="" textlink="">
        <xdr:nvSpPr>
          <xdr:cNvPr id="333" name="Hexagon 332">
            <a:extLst>
              <a:ext uri="{FF2B5EF4-FFF2-40B4-BE49-F238E27FC236}">
                <a16:creationId xmlns:a16="http://schemas.microsoft.com/office/drawing/2014/main" id="{FA936D62-ECA5-AECF-C07C-7037016043F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4" name="Group 333">
            <a:extLst>
              <a:ext uri="{FF2B5EF4-FFF2-40B4-BE49-F238E27FC236}">
                <a16:creationId xmlns:a16="http://schemas.microsoft.com/office/drawing/2014/main" id="{922D07B8-33F7-7592-FAA4-D2A924A104D7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35" name="Straight Connector 334">
              <a:extLst>
                <a:ext uri="{FF2B5EF4-FFF2-40B4-BE49-F238E27FC236}">
                  <a16:creationId xmlns:a16="http://schemas.microsoft.com/office/drawing/2014/main" id="{5F58663E-A5BC-2724-8559-29223DB3BD78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1B7FF91D-C33E-C0C3-5D87-718F87529180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31</a:t>
              </a:r>
            </a:p>
          </xdr:txBody>
        </xdr:sp>
      </xdr:grpSp>
    </xdr:grpSp>
    <xdr:clientData/>
  </xdr:twoCellAnchor>
  <xdr:twoCellAnchor>
    <xdr:from>
      <xdr:col>18</xdr:col>
      <xdr:colOff>345281</xdr:colOff>
      <xdr:row>24</xdr:row>
      <xdr:rowOff>130969</xdr:rowOff>
    </xdr:from>
    <xdr:to>
      <xdr:col>19</xdr:col>
      <xdr:colOff>38791</xdr:colOff>
      <xdr:row>27</xdr:row>
      <xdr:rowOff>84137</xdr:rowOff>
    </xdr:to>
    <xdr:grpSp>
      <xdr:nvGrpSpPr>
        <xdr:cNvPr id="337" name="Group 336">
          <a:extLst>
            <a:ext uri="{FF2B5EF4-FFF2-40B4-BE49-F238E27FC236}">
              <a16:creationId xmlns:a16="http://schemas.microsoft.com/office/drawing/2014/main" id="{CA35D8D8-0B53-41C1-90BB-C7DCC292103C}"/>
            </a:ext>
          </a:extLst>
        </xdr:cNvPr>
        <xdr:cNvGrpSpPr/>
      </xdr:nvGrpSpPr>
      <xdr:grpSpPr>
        <a:xfrm>
          <a:off x="11318081" y="4693444"/>
          <a:ext cx="303110" cy="496093"/>
          <a:chOff x="1304924" y="1639958"/>
          <a:chExt cx="324542" cy="534227"/>
        </a:xfrm>
      </xdr:grpSpPr>
      <xdr:sp macro="" textlink="">
        <xdr:nvSpPr>
          <xdr:cNvPr id="338" name="Hexagon 337">
            <a:extLst>
              <a:ext uri="{FF2B5EF4-FFF2-40B4-BE49-F238E27FC236}">
                <a16:creationId xmlns:a16="http://schemas.microsoft.com/office/drawing/2014/main" id="{42DD8505-D608-1738-4B2E-5492E1876322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9" name="Group 338">
            <a:extLst>
              <a:ext uri="{FF2B5EF4-FFF2-40B4-BE49-F238E27FC236}">
                <a16:creationId xmlns:a16="http://schemas.microsoft.com/office/drawing/2014/main" id="{B19C9C71-36A9-E6B7-01C3-3246D2AFBC94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40" name="Straight Connector 339">
              <a:extLst>
                <a:ext uri="{FF2B5EF4-FFF2-40B4-BE49-F238E27FC236}">
                  <a16:creationId xmlns:a16="http://schemas.microsoft.com/office/drawing/2014/main" id="{4FE41C54-2B6A-D4AA-138F-9C8DBB21031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92DEFAE0-ED9D-6566-7596-F46506C2352D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33</a:t>
              </a:r>
            </a:p>
          </xdr:txBody>
        </xdr:sp>
      </xdr:grpSp>
    </xdr:grpSp>
    <xdr:clientData/>
  </xdr:twoCellAnchor>
  <xdr:twoCellAnchor>
    <xdr:from>
      <xdr:col>18</xdr:col>
      <xdr:colOff>500063</xdr:colOff>
      <xdr:row>27</xdr:row>
      <xdr:rowOff>95251</xdr:rowOff>
    </xdr:from>
    <xdr:to>
      <xdr:col>19</xdr:col>
      <xdr:colOff>238125</xdr:colOff>
      <xdr:row>27</xdr:row>
      <xdr:rowOff>95251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EDA79E4F-1D64-4FB8-90BE-9B7436103ADE}"/>
            </a:ext>
          </a:extLst>
        </xdr:cNvPr>
        <xdr:cNvCxnSpPr/>
      </xdr:nvCxnSpPr>
      <xdr:spPr>
        <a:xfrm flipH="1">
          <a:off x="11472863" y="5289551"/>
          <a:ext cx="34766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559594</xdr:colOff>
      <xdr:row>29</xdr:row>
      <xdr:rowOff>11906</xdr:rowOff>
    </xdr:from>
    <xdr:to>
      <xdr:col>22</xdr:col>
      <xdr:colOff>119063</xdr:colOff>
      <xdr:row>29</xdr:row>
      <xdr:rowOff>11906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46400655-F131-4895-A1E4-4AC236E61603}"/>
            </a:ext>
          </a:extLst>
        </xdr:cNvPr>
        <xdr:cNvCxnSpPr/>
      </xdr:nvCxnSpPr>
      <xdr:spPr>
        <a:xfrm flipH="1">
          <a:off x="13361194" y="5574506"/>
          <a:ext cx="16906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1429</xdr:colOff>
      <xdr:row>26</xdr:row>
      <xdr:rowOff>69056</xdr:rowOff>
    </xdr:from>
    <xdr:to>
      <xdr:col>22</xdr:col>
      <xdr:colOff>274536</xdr:colOff>
      <xdr:row>29</xdr:row>
      <xdr:rowOff>22224</xdr:rowOff>
    </xdr:to>
    <xdr:grpSp>
      <xdr:nvGrpSpPr>
        <xdr:cNvPr id="344" name="Group 343">
          <a:extLst>
            <a:ext uri="{FF2B5EF4-FFF2-40B4-BE49-F238E27FC236}">
              <a16:creationId xmlns:a16="http://schemas.microsoft.com/office/drawing/2014/main" id="{2E1F72A2-5B21-4364-8B43-54B28B0BBD9E}"/>
            </a:ext>
          </a:extLst>
        </xdr:cNvPr>
        <xdr:cNvGrpSpPr/>
      </xdr:nvGrpSpPr>
      <xdr:grpSpPr>
        <a:xfrm>
          <a:off x="13412629" y="4993481"/>
          <a:ext cx="273107" cy="496093"/>
          <a:chOff x="1304924" y="1639958"/>
          <a:chExt cx="324542" cy="534227"/>
        </a:xfrm>
      </xdr:grpSpPr>
      <xdr:sp macro="" textlink="">
        <xdr:nvSpPr>
          <xdr:cNvPr id="345" name="Hexagon 344">
            <a:extLst>
              <a:ext uri="{FF2B5EF4-FFF2-40B4-BE49-F238E27FC236}">
                <a16:creationId xmlns:a16="http://schemas.microsoft.com/office/drawing/2014/main" id="{38525225-D144-D928-3D85-27B09E2D1093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46" name="Group 345">
            <a:extLst>
              <a:ext uri="{FF2B5EF4-FFF2-40B4-BE49-F238E27FC236}">
                <a16:creationId xmlns:a16="http://schemas.microsoft.com/office/drawing/2014/main" id="{0196F958-E390-3F58-0CA8-F6E7C7B87FF5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47" name="Straight Connector 346">
              <a:extLst>
                <a:ext uri="{FF2B5EF4-FFF2-40B4-BE49-F238E27FC236}">
                  <a16:creationId xmlns:a16="http://schemas.microsoft.com/office/drawing/2014/main" id="{0D2820FB-39ED-6610-B08F-D12276F073CE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CCB43E29-88D1-C5C2-FA41-5FBF3748FD2D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32</a:t>
              </a:r>
            </a:p>
          </xdr:txBody>
        </xdr:sp>
      </xdr:grpSp>
    </xdr:grpSp>
    <xdr:clientData/>
  </xdr:twoCellAnchor>
  <xdr:twoCellAnchor>
    <xdr:from>
      <xdr:col>29</xdr:col>
      <xdr:colOff>201168</xdr:colOff>
      <xdr:row>28</xdr:row>
      <xdr:rowOff>173736</xdr:rowOff>
    </xdr:from>
    <xdr:to>
      <xdr:col>29</xdr:col>
      <xdr:colOff>204216</xdr:colOff>
      <xdr:row>32</xdr:row>
      <xdr:rowOff>18288</xdr:rowOff>
    </xdr:to>
    <xdr:cxnSp macro="">
      <xdr:nvCxnSpPr>
        <xdr:cNvPr id="349" name="Straight Arrow Connector 348">
          <a:extLst>
            <a:ext uri="{FF2B5EF4-FFF2-40B4-BE49-F238E27FC236}">
              <a16:creationId xmlns:a16="http://schemas.microsoft.com/office/drawing/2014/main" id="{6A977D59-C6F5-4E35-A8BA-DD116E18AD3A}"/>
            </a:ext>
          </a:extLst>
        </xdr:cNvPr>
        <xdr:cNvCxnSpPr/>
      </xdr:nvCxnSpPr>
      <xdr:spPr>
        <a:xfrm flipH="1" flipV="1">
          <a:off x="17879568" y="5552186"/>
          <a:ext cx="3048" cy="581152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538655</xdr:colOff>
      <xdr:row>29</xdr:row>
      <xdr:rowOff>12556</xdr:rowOff>
    </xdr:from>
    <xdr:to>
      <xdr:col>29</xdr:col>
      <xdr:colOff>540545</xdr:colOff>
      <xdr:row>32</xdr:row>
      <xdr:rowOff>10509</xdr:rowOff>
    </xdr:to>
    <xdr:cxnSp macro="">
      <xdr:nvCxnSpPr>
        <xdr:cNvPr id="350" name="Straight Arrow Connector 349">
          <a:extLst>
            <a:ext uri="{FF2B5EF4-FFF2-40B4-BE49-F238E27FC236}">
              <a16:creationId xmlns:a16="http://schemas.microsoft.com/office/drawing/2014/main" id="{4006F4F7-68E4-4AC1-B9ED-22C817B28685}"/>
            </a:ext>
          </a:extLst>
        </xdr:cNvPr>
        <xdr:cNvCxnSpPr/>
      </xdr:nvCxnSpPr>
      <xdr:spPr>
        <a:xfrm flipH="1">
          <a:off x="18217055" y="5575156"/>
          <a:ext cx="1890" cy="550403"/>
        </a:xfrm>
        <a:prstGeom prst="straightConnector1">
          <a:avLst/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webley\AppData\Local\Microsoft\Olk\Attachments\ooa-ac6dd492-1a1f-4c1a-a452-0146e765facb\f2a58d8fc2c62e2517693123eeefd40eed764673c22052c862fcb003e387dd74\Microsoft1000m3perday05202025_SW.xlsm" TargetMode="External"/><Relationship Id="rId1" Type="http://schemas.openxmlformats.org/officeDocument/2006/relationships/externalLinkPath" Target="file:///C:\Users\jwebley\AppData\Local\Microsoft\Olk\Attachments\ooa-ac6dd492-1a1f-4c1a-a452-0146e765facb\f2a58d8fc2c62e2517693123eeefd40eed764673c22052c862fcb003e387dd74\Microsoft1000m3perday05202025_S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tem Diagram"/>
      <sheetName val="Calculations"/>
      <sheetName val="PFD_Gen3"/>
      <sheetName val="Properties Reference Tables"/>
      <sheetName val="Flow"/>
      <sheetName val="Process Flow and Mass Balance"/>
    </sheetNames>
    <sheetDataSet>
      <sheetData sheetId="0">
        <row r="6">
          <cell r="AA6">
            <v>85</v>
          </cell>
        </row>
        <row r="7">
          <cell r="N7">
            <v>25</v>
          </cell>
        </row>
        <row r="9">
          <cell r="N9">
            <v>30</v>
          </cell>
          <cell r="T9">
            <v>41</v>
          </cell>
        </row>
        <row r="10">
          <cell r="B10">
            <v>30</v>
          </cell>
        </row>
        <row r="12">
          <cell r="Z12">
            <v>71.284999999999997</v>
          </cell>
        </row>
        <row r="16">
          <cell r="AF16">
            <v>85.000000000000014</v>
          </cell>
        </row>
        <row r="17">
          <cell r="M17">
            <v>31.840073220494304</v>
          </cell>
        </row>
        <row r="18">
          <cell r="Z18">
            <v>69.44</v>
          </cell>
        </row>
        <row r="21">
          <cell r="I21">
            <v>31.838928367835102</v>
          </cell>
          <cell r="M21">
            <v>30</v>
          </cell>
        </row>
        <row r="26">
          <cell r="F26">
            <v>1.7729999999999999</v>
          </cell>
          <cell r="I26">
            <v>32</v>
          </cell>
        </row>
        <row r="27">
          <cell r="F27">
            <v>25</v>
          </cell>
        </row>
        <row r="28">
          <cell r="AB28">
            <v>79.999999999999986</v>
          </cell>
          <cell r="AE28">
            <v>90</v>
          </cell>
        </row>
        <row r="29">
          <cell r="AE29">
            <v>3.8100000000000005</v>
          </cell>
        </row>
      </sheetData>
      <sheetData sheetId="1">
        <row r="15">
          <cell r="B15">
            <v>1</v>
          </cell>
        </row>
        <row r="17">
          <cell r="B17">
            <v>0.19999999999999984</v>
          </cell>
          <cell r="F17">
            <v>0.01</v>
          </cell>
        </row>
        <row r="18">
          <cell r="B18">
            <v>5.540166204986155E-2</v>
          </cell>
        </row>
        <row r="19">
          <cell r="B19">
            <v>1.0526315789473684</v>
          </cell>
        </row>
        <row r="21">
          <cell r="B21">
            <v>5.2631578947368418E-2</v>
          </cell>
        </row>
        <row r="22">
          <cell r="B22">
            <v>1.10803324099723</v>
          </cell>
        </row>
        <row r="23">
          <cell r="B23">
            <v>0.745</v>
          </cell>
        </row>
        <row r="25">
          <cell r="B25">
            <v>2.4803711011206766</v>
          </cell>
        </row>
        <row r="34">
          <cell r="B34">
            <v>0.52303285269495303</v>
          </cell>
        </row>
        <row r="35">
          <cell r="B35">
            <v>3.5330026800680447</v>
          </cell>
        </row>
        <row r="41">
          <cell r="B41">
            <v>0.51017986423846273</v>
          </cell>
        </row>
        <row r="42">
          <cell r="B42">
            <v>1.3924043421179062</v>
          </cell>
        </row>
        <row r="45">
          <cell r="B45">
            <v>31.981650297926244</v>
          </cell>
        </row>
        <row r="57">
          <cell r="B57">
            <v>995.7</v>
          </cell>
        </row>
        <row r="59">
          <cell r="B59">
            <v>0.51804552260900016</v>
          </cell>
        </row>
        <row r="60">
          <cell r="B60">
            <v>3.5884043421179062</v>
          </cell>
        </row>
        <row r="66">
          <cell r="B66">
            <v>3.5000000000000003E-2</v>
          </cell>
        </row>
        <row r="67">
          <cell r="B67">
            <v>2</v>
          </cell>
        </row>
        <row r="71">
          <cell r="B71">
            <v>1024.95</v>
          </cell>
        </row>
        <row r="76">
          <cell r="B76">
            <v>0.94736842105263164</v>
          </cell>
        </row>
        <row r="77">
          <cell r="B77">
            <v>7.3888888888888893E-2</v>
          </cell>
        </row>
        <row r="83">
          <cell r="B83">
            <v>1</v>
          </cell>
        </row>
        <row r="84">
          <cell r="B84">
            <v>31.738675511573391</v>
          </cell>
        </row>
        <row r="85">
          <cell r="B85">
            <v>7.0000000000000007E-2</v>
          </cell>
        </row>
        <row r="86">
          <cell r="B86">
            <v>1047.8045297953706</v>
          </cell>
        </row>
        <row r="107">
          <cell r="B107">
            <v>31.840073220494304</v>
          </cell>
        </row>
        <row r="171">
          <cell r="D171">
            <v>1068.9837038847086</v>
          </cell>
        </row>
        <row r="185">
          <cell r="B185">
            <v>2.4803711011206766</v>
          </cell>
        </row>
        <row r="190">
          <cell r="M190">
            <v>3527.8127944683956</v>
          </cell>
        </row>
        <row r="191">
          <cell r="D191">
            <v>85</v>
          </cell>
        </row>
        <row r="192">
          <cell r="D192">
            <v>37</v>
          </cell>
        </row>
        <row r="193">
          <cell r="D193">
            <v>1085.774592133434</v>
          </cell>
        </row>
        <row r="202">
          <cell r="B202">
            <v>2.1960000000000002</v>
          </cell>
        </row>
        <row r="209">
          <cell r="M209">
            <v>-3528.1941480218111</v>
          </cell>
        </row>
        <row r="212">
          <cell r="D212">
            <v>1068.9837038847086</v>
          </cell>
        </row>
        <row r="284">
          <cell r="B284">
            <v>1.3370026800680446</v>
          </cell>
        </row>
        <row r="292">
          <cell r="D292">
            <v>1068.9837038847086</v>
          </cell>
        </row>
        <row r="311">
          <cell r="M311">
            <v>2318.0963250230843</v>
          </cell>
        </row>
        <row r="314">
          <cell r="D314">
            <v>981.2</v>
          </cell>
        </row>
        <row r="330">
          <cell r="M330">
            <v>-2318.2968637244621</v>
          </cell>
        </row>
        <row r="333">
          <cell r="D333">
            <v>1067.5500812809187</v>
          </cell>
        </row>
        <row r="381">
          <cell r="D381">
            <v>70.155913193241574</v>
          </cell>
        </row>
        <row r="402">
          <cell r="D402">
            <v>1050.8681136323844</v>
          </cell>
        </row>
        <row r="438">
          <cell r="M438">
            <v>587.9687990780659</v>
          </cell>
        </row>
        <row r="441">
          <cell r="D441">
            <v>1085.774592133434</v>
          </cell>
        </row>
        <row r="455">
          <cell r="M455">
            <v>-587.8712959849023</v>
          </cell>
        </row>
        <row r="458">
          <cell r="D458">
            <v>1022.4425</v>
          </cell>
        </row>
        <row r="523">
          <cell r="M523">
            <v>1794.0972500000003</v>
          </cell>
        </row>
        <row r="526">
          <cell r="D526">
            <v>968</v>
          </cell>
        </row>
        <row r="540">
          <cell r="M540">
            <v>-1794.0376271285754</v>
          </cell>
        </row>
        <row r="598">
          <cell r="B598">
            <v>1.10803324099723</v>
          </cell>
        </row>
        <row r="603">
          <cell r="M603">
            <v>585.81702923976604</v>
          </cell>
        </row>
        <row r="605">
          <cell r="D605">
            <v>30</v>
          </cell>
        </row>
        <row r="606">
          <cell r="D606">
            <v>993.92000000000007</v>
          </cell>
        </row>
        <row r="615">
          <cell r="B615">
            <v>1.736</v>
          </cell>
        </row>
        <row r="620">
          <cell r="M620">
            <v>-585.57213036000007</v>
          </cell>
        </row>
        <row r="622">
          <cell r="D622">
            <v>32</v>
          </cell>
        </row>
        <row r="623">
          <cell r="D623">
            <v>996.12</v>
          </cell>
        </row>
      </sheetData>
      <sheetData sheetId="2" refreshError="1"/>
      <sheetData sheetId="3">
        <row r="62">
          <cell r="L62">
            <v>1071.2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1648-8D11-4F21-A1F1-E9ADE7FFE65D}">
  <dimension ref="A1:AS53"/>
  <sheetViews>
    <sheetView tabSelected="1" topLeftCell="AA94" zoomScale="145" zoomScaleNormal="145" workbookViewId="0">
      <selection activeCell="AK32" sqref="AK32"/>
    </sheetView>
  </sheetViews>
  <sheetFormatPr defaultRowHeight="14.45"/>
  <sheetData>
    <row r="1" spans="1:35" ht="32.1">
      <c r="V1" s="1" t="s">
        <v>0</v>
      </c>
    </row>
    <row r="5" spans="1:35">
      <c r="J5" s="2"/>
      <c r="L5" s="2"/>
      <c r="Z5" s="3"/>
    </row>
    <row r="6" spans="1:35">
      <c r="J6" s="2"/>
      <c r="L6" s="2"/>
      <c r="Z6" s="3"/>
    </row>
    <row r="8" spans="1:35">
      <c r="AA8" s="3"/>
    </row>
    <row r="9" spans="1:35">
      <c r="L9" s="3"/>
      <c r="Z9" s="2"/>
      <c r="AD9" s="2"/>
      <c r="AI9" t="s">
        <v>1</v>
      </c>
    </row>
    <row r="10" spans="1:35">
      <c r="A10" t="s">
        <v>2</v>
      </c>
      <c r="L10" s="2"/>
      <c r="Q10" s="3"/>
      <c r="Z10" s="4"/>
      <c r="AB10" s="5"/>
      <c r="AD10" s="2"/>
      <c r="AE10" s="6"/>
      <c r="AF10" s="6"/>
      <c r="AG10" s="6"/>
      <c r="AH10" s="6"/>
    </row>
    <row r="11" spans="1:35">
      <c r="A11" t="s">
        <v>3</v>
      </c>
      <c r="S11" s="7"/>
      <c r="T11" s="7"/>
      <c r="V11" s="5"/>
      <c r="W11" s="6"/>
      <c r="X11" s="3"/>
      <c r="Y11" s="6"/>
      <c r="Z11" s="7"/>
      <c r="AB11" s="7"/>
      <c r="AF11" s="3"/>
    </row>
    <row r="12" spans="1:35">
      <c r="J12" s="3"/>
    </row>
    <row r="13" spans="1:35">
      <c r="J13" s="3"/>
    </row>
    <row r="14" spans="1:35">
      <c r="J14" s="3"/>
    </row>
    <row r="15" spans="1:35">
      <c r="N15" s="3"/>
      <c r="S15" s="8"/>
      <c r="T15" s="8"/>
      <c r="U15" s="8"/>
      <c r="V15" s="9"/>
      <c r="X15" s="3"/>
      <c r="Y15" s="6"/>
      <c r="Z15" s="6"/>
      <c r="AA15" s="6"/>
      <c r="AB15" s="6"/>
      <c r="AE15" s="5"/>
      <c r="AF15" s="6"/>
      <c r="AG15" s="6"/>
      <c r="AH15" s="6"/>
    </row>
    <row r="16" spans="1:35">
      <c r="J16" s="10"/>
      <c r="N16" s="3"/>
    </row>
    <row r="17" spans="1:35">
      <c r="L17" s="2"/>
      <c r="S17" t="s">
        <v>4</v>
      </c>
      <c r="Z17" s="2"/>
      <c r="AD17" s="2"/>
    </row>
    <row r="18" spans="1:35">
      <c r="A18" t="s">
        <v>5</v>
      </c>
      <c r="J18" s="3"/>
      <c r="O18" s="11"/>
      <c r="S18" t="s">
        <v>6</v>
      </c>
    </row>
    <row r="19" spans="1:35">
      <c r="L19" s="2"/>
      <c r="S19" s="11"/>
      <c r="T19" s="11"/>
      <c r="Z19" s="2"/>
      <c r="AD19" s="2"/>
    </row>
    <row r="20" spans="1:35">
      <c r="M20" s="10"/>
      <c r="V20" s="3"/>
      <c r="X20" s="3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5">
      <c r="M21" s="10"/>
      <c r="V21" s="3"/>
      <c r="X21" s="3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5">
      <c r="M22" s="10"/>
      <c r="V22" s="3"/>
      <c r="X22" s="3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5">
      <c r="M23" s="5"/>
      <c r="AE23" s="5"/>
      <c r="AF23" s="6"/>
    </row>
    <row r="24" spans="1:35">
      <c r="M24" s="5"/>
      <c r="AE24" s="5"/>
      <c r="AF24" s="6"/>
      <c r="AI24" t="s">
        <v>7</v>
      </c>
    </row>
    <row r="25" spans="1:35">
      <c r="P25" t="s">
        <v>8</v>
      </c>
      <c r="S25" s="12"/>
      <c r="T25" s="12"/>
      <c r="W25" s="13"/>
      <c r="AB25" s="3"/>
    </row>
    <row r="26" spans="1:35">
      <c r="A26" t="s">
        <v>8</v>
      </c>
      <c r="J26" s="3"/>
      <c r="O26" s="14"/>
      <c r="P26" s="6"/>
      <c r="S26" s="3"/>
      <c r="T26" s="3"/>
      <c r="X26" s="3"/>
      <c r="Y26" s="6"/>
      <c r="Z26" s="7"/>
      <c r="AA26" s="7"/>
      <c r="AB26" s="7"/>
    </row>
    <row r="27" spans="1:35">
      <c r="L27" s="2"/>
      <c r="V27" s="3"/>
      <c r="Z27" s="2"/>
      <c r="AB27" s="7"/>
      <c r="AD27" s="2"/>
      <c r="AF27" s="5"/>
    </row>
    <row r="28" spans="1:35">
      <c r="L28" s="2"/>
      <c r="Z28" s="2"/>
      <c r="AA28" s="5"/>
      <c r="AD28" s="2"/>
    </row>
    <row r="29" spans="1:35">
      <c r="L29" s="2"/>
      <c r="Q29" s="15"/>
      <c r="R29" s="15"/>
      <c r="AC29" s="12"/>
    </row>
    <row r="30" spans="1:35">
      <c r="J30" s="2"/>
      <c r="L30" s="2"/>
      <c r="Z30" s="7"/>
    </row>
    <row r="31" spans="1:35">
      <c r="O31" s="3"/>
      <c r="Z31" s="7"/>
    </row>
    <row r="32" spans="1:35">
      <c r="Z32" s="7"/>
    </row>
    <row r="33" spans="1:45">
      <c r="J33" s="10"/>
      <c r="L33" s="2"/>
      <c r="Z33" s="16"/>
      <c r="AC33" s="17" t="s">
        <v>9</v>
      </c>
      <c r="AD33" s="6"/>
      <c r="AE33" s="18" t="s">
        <v>10</v>
      </c>
      <c r="AF33" s="6"/>
    </row>
    <row r="34" spans="1:45">
      <c r="L34" s="2"/>
      <c r="Z34" s="7"/>
      <c r="AC34" s="19" t="s">
        <v>11</v>
      </c>
      <c r="AG34" s="20"/>
    </row>
    <row r="35" spans="1:45">
      <c r="L35" s="2"/>
      <c r="Z35" s="7"/>
      <c r="AE35" s="10"/>
    </row>
    <row r="36" spans="1:45">
      <c r="AE36" s="11"/>
    </row>
    <row r="37" spans="1:45">
      <c r="AE37" s="2"/>
    </row>
    <row r="38" spans="1:45">
      <c r="A38" s="20" t="s">
        <v>12</v>
      </c>
      <c r="B38" s="20" t="s">
        <v>13</v>
      </c>
      <c r="C38" s="20"/>
      <c r="D38" s="20"/>
      <c r="E38" s="20"/>
      <c r="F38" s="20"/>
      <c r="G38" s="20"/>
      <c r="H38" s="20"/>
      <c r="I38" s="20"/>
      <c r="J38" s="21"/>
      <c r="P38" s="21"/>
      <c r="AE38" s="11"/>
    </row>
    <row r="39" spans="1:45" ht="15" thickBot="1"/>
    <row r="40" spans="1:45" ht="102" thickBot="1">
      <c r="A40" s="22" t="s">
        <v>14</v>
      </c>
      <c r="B40" s="23" t="s">
        <v>15</v>
      </c>
      <c r="C40" s="23" t="s">
        <v>16</v>
      </c>
      <c r="D40" s="23" t="s">
        <v>17</v>
      </c>
      <c r="E40" s="23" t="s">
        <v>18</v>
      </c>
      <c r="F40" s="23" t="s">
        <v>19</v>
      </c>
      <c r="G40" s="23" t="s">
        <v>20</v>
      </c>
      <c r="H40" s="23" t="s">
        <v>21</v>
      </c>
      <c r="I40" s="23" t="s">
        <v>22</v>
      </c>
      <c r="J40" s="23" t="s">
        <v>23</v>
      </c>
      <c r="K40" s="23" t="s">
        <v>24</v>
      </c>
      <c r="L40" s="23" t="s">
        <v>25</v>
      </c>
      <c r="M40" s="23" t="s">
        <v>26</v>
      </c>
      <c r="N40" s="23" t="s">
        <v>27</v>
      </c>
      <c r="O40" s="23" t="s">
        <v>28</v>
      </c>
      <c r="P40" s="23" t="s">
        <v>29</v>
      </c>
      <c r="Q40" s="23" t="s">
        <v>30</v>
      </c>
      <c r="R40" s="23" t="s">
        <v>31</v>
      </c>
      <c r="S40" s="23" t="s">
        <v>32</v>
      </c>
      <c r="T40" s="23" t="s">
        <v>33</v>
      </c>
      <c r="U40" s="23" t="s">
        <v>34</v>
      </c>
      <c r="V40" s="23" t="s">
        <v>35</v>
      </c>
      <c r="W40" s="23" t="s">
        <v>36</v>
      </c>
      <c r="X40" s="23" t="s">
        <v>37</v>
      </c>
      <c r="Y40" s="23" t="s">
        <v>38</v>
      </c>
      <c r="Z40" s="23" t="s">
        <v>39</v>
      </c>
      <c r="AA40" s="23" t="s">
        <v>40</v>
      </c>
      <c r="AB40" s="23" t="s">
        <v>41</v>
      </c>
      <c r="AC40" s="23" t="s">
        <v>42</v>
      </c>
      <c r="AD40" s="23" t="s">
        <v>43</v>
      </c>
      <c r="AE40" s="23" t="s">
        <v>44</v>
      </c>
      <c r="AF40" s="23" t="s">
        <v>45</v>
      </c>
      <c r="AG40" s="23" t="s">
        <v>46</v>
      </c>
      <c r="AH40" s="23" t="s">
        <v>47</v>
      </c>
      <c r="AI40" s="23"/>
      <c r="AJ40" s="23" t="s">
        <v>48</v>
      </c>
      <c r="AK40" s="23" t="s">
        <v>49</v>
      </c>
      <c r="AL40" s="23" t="s">
        <v>50</v>
      </c>
      <c r="AM40" s="23" t="s">
        <v>51</v>
      </c>
      <c r="AN40" s="23" t="s">
        <v>52</v>
      </c>
      <c r="AO40" s="23" t="s">
        <v>53</v>
      </c>
      <c r="AP40" s="23" t="s">
        <v>54</v>
      </c>
      <c r="AQ40" s="23" t="s">
        <v>55</v>
      </c>
      <c r="AR40" s="23" t="s">
        <v>56</v>
      </c>
      <c r="AS40" s="24"/>
    </row>
    <row r="41" spans="1:45" ht="15" thickBot="1">
      <c r="A41" s="25" t="s">
        <v>57</v>
      </c>
      <c r="B41" s="26">
        <v>1</v>
      </c>
      <c r="C41" s="26">
        <v>2</v>
      </c>
      <c r="D41" s="26">
        <v>3</v>
      </c>
      <c r="E41" s="26">
        <v>4</v>
      </c>
      <c r="F41" s="26">
        <v>5</v>
      </c>
      <c r="G41" s="26">
        <v>6</v>
      </c>
      <c r="H41" s="26">
        <v>7</v>
      </c>
      <c r="I41" s="26">
        <v>8</v>
      </c>
      <c r="J41" s="26">
        <v>9</v>
      </c>
      <c r="K41" s="26">
        <v>10</v>
      </c>
      <c r="L41" s="26">
        <v>11</v>
      </c>
      <c r="M41" s="26">
        <v>12</v>
      </c>
      <c r="N41" s="26">
        <v>13</v>
      </c>
      <c r="O41" s="26">
        <v>14</v>
      </c>
      <c r="P41" s="26">
        <v>15</v>
      </c>
      <c r="Q41" s="26">
        <v>16</v>
      </c>
      <c r="R41" s="26">
        <v>17</v>
      </c>
      <c r="S41" s="26">
        <v>18</v>
      </c>
      <c r="T41" s="26">
        <v>19</v>
      </c>
      <c r="U41" s="26">
        <v>20</v>
      </c>
      <c r="V41" s="27">
        <v>21</v>
      </c>
      <c r="W41" s="28">
        <v>22</v>
      </c>
      <c r="X41" s="29">
        <v>23</v>
      </c>
      <c r="Y41" s="26">
        <v>24</v>
      </c>
      <c r="Z41" s="26">
        <v>25</v>
      </c>
      <c r="AA41" s="26">
        <v>26</v>
      </c>
      <c r="AB41" s="26">
        <v>27</v>
      </c>
      <c r="AC41" s="26">
        <v>28</v>
      </c>
      <c r="AD41" s="26">
        <v>29</v>
      </c>
      <c r="AE41" s="26">
        <v>30</v>
      </c>
      <c r="AF41" s="26">
        <v>31</v>
      </c>
      <c r="AG41" s="26">
        <v>32</v>
      </c>
      <c r="AH41" s="26">
        <v>33</v>
      </c>
      <c r="AI41" s="26"/>
      <c r="AJ41" s="26"/>
      <c r="AK41" s="26">
        <v>34</v>
      </c>
      <c r="AL41" s="26">
        <v>35</v>
      </c>
      <c r="AM41" s="27">
        <v>36</v>
      </c>
      <c r="AN41" s="28">
        <v>37</v>
      </c>
      <c r="AO41" s="29">
        <v>38</v>
      </c>
      <c r="AP41" s="29">
        <v>39</v>
      </c>
      <c r="AQ41" s="29">
        <v>40</v>
      </c>
      <c r="AR41" s="29">
        <v>41</v>
      </c>
      <c r="AS41" s="20"/>
    </row>
    <row r="42" spans="1:45" ht="43.5">
      <c r="A42" s="30" t="s">
        <v>58</v>
      </c>
      <c r="B42" s="31" t="s">
        <v>59</v>
      </c>
      <c r="C42" s="32" t="str">
        <f t="shared" ref="C42:D44" si="0">B42</f>
        <v>6 - 33</v>
      </c>
      <c r="D42" s="32" t="str">
        <f t="shared" si="0"/>
        <v>6 - 33</v>
      </c>
      <c r="E42" s="33">
        <f>'[1]System Diagram'!M17</f>
        <v>31.840073220494304</v>
      </c>
      <c r="F42" s="33">
        <f>E42</f>
        <v>31.840073220494304</v>
      </c>
      <c r="G42" s="34">
        <f>[1]Calculations!B107</f>
        <v>31.840073220494304</v>
      </c>
      <c r="H42" s="34">
        <f>[1]Calculations!B45</f>
        <v>31.981650297926244</v>
      </c>
      <c r="I42" s="34">
        <f>'[1]System Diagram'!M17</f>
        <v>31.840073220494304</v>
      </c>
      <c r="J42" s="34">
        <f>'[1]System Diagram'!Z12</f>
        <v>71.284999999999997</v>
      </c>
      <c r="K42" s="34">
        <f>'[1]System Diagram'!Z18</f>
        <v>69.44</v>
      </c>
      <c r="L42" s="34">
        <f>[1]Calculations!D381</f>
        <v>70.155913193241574</v>
      </c>
      <c r="M42" s="34">
        <f>'[1]System Diagram'!AF16</f>
        <v>85.000000000000014</v>
      </c>
      <c r="N42" s="34">
        <f>'[1]System Diagram'!AB28</f>
        <v>79.999999999999986</v>
      </c>
      <c r="O42" s="34">
        <f>'[1]System Diagram'!AE28</f>
        <v>90</v>
      </c>
      <c r="P42" s="34">
        <f>[1]Calculations!D191</f>
        <v>85</v>
      </c>
      <c r="Q42" s="34">
        <f>[1]Calculations!D192</f>
        <v>37</v>
      </c>
      <c r="R42" s="34">
        <f>'[1]System Diagram'!AA6</f>
        <v>85</v>
      </c>
      <c r="S42" s="34">
        <f>'[1]System Diagram'!T9</f>
        <v>41</v>
      </c>
      <c r="T42" s="34">
        <f>'[1]System Diagram'!N7</f>
        <v>25</v>
      </c>
      <c r="U42" s="34">
        <f>[1]Calculations!D622</f>
        <v>32</v>
      </c>
      <c r="V42" s="34">
        <f>[1]Calculations!D605</f>
        <v>30</v>
      </c>
      <c r="W42" s="34">
        <f>V42</f>
        <v>30</v>
      </c>
      <c r="X42" s="34">
        <f>'[1]System Diagram'!N9</f>
        <v>30</v>
      </c>
      <c r="Y42" s="34">
        <f>'[1]System Diagram'!N9</f>
        <v>30</v>
      </c>
      <c r="Z42" s="34">
        <f>'[1]System Diagram'!N9</f>
        <v>30</v>
      </c>
      <c r="AA42" s="34">
        <f>'[1]System Diagram'!N9</f>
        <v>30</v>
      </c>
      <c r="AB42" s="34">
        <f>'[1]System Diagram'!N9</f>
        <v>30</v>
      </c>
      <c r="AC42" s="34">
        <f>'[1]System Diagram'!B10</f>
        <v>30</v>
      </c>
      <c r="AD42" s="34">
        <f>'[1]System Diagram'!I21</f>
        <v>31.838928367835102</v>
      </c>
      <c r="AE42" s="34">
        <f>[1]Calculations!B84</f>
        <v>31.738675511573391</v>
      </c>
      <c r="AF42" s="35">
        <f>'[1]System Diagram'!M21</f>
        <v>30</v>
      </c>
      <c r="AG42" s="36">
        <f>'[1]System Diagram'!I26</f>
        <v>32</v>
      </c>
      <c r="AH42" s="37">
        <f>'[1]System Diagram'!F27</f>
        <v>25</v>
      </c>
      <c r="AI42" s="34"/>
      <c r="AJ42" s="36"/>
      <c r="AK42" s="37">
        <v>25</v>
      </c>
      <c r="AL42" s="34">
        <v>25</v>
      </c>
      <c r="AM42" s="34">
        <v>25</v>
      </c>
      <c r="AN42" s="34">
        <v>25</v>
      </c>
      <c r="AO42" s="34">
        <v>25</v>
      </c>
      <c r="AP42" s="34">
        <v>25</v>
      </c>
      <c r="AQ42" s="34">
        <v>25</v>
      </c>
      <c r="AR42" s="34">
        <v>25</v>
      </c>
      <c r="AS42" s="11"/>
    </row>
    <row r="43" spans="1:45" ht="30.95">
      <c r="A43" s="30" t="s">
        <v>60</v>
      </c>
      <c r="B43" s="38">
        <f>[1]Calculations!B67*TCapacity</f>
        <v>83.333333333333329</v>
      </c>
      <c r="C43" s="39">
        <f t="shared" si="0"/>
        <v>83.333333333333329</v>
      </c>
      <c r="D43" s="39">
        <f t="shared" si="0"/>
        <v>83.333333333333329</v>
      </c>
      <c r="E43" s="39">
        <f>[1]Calculations!B35*TCapacity</f>
        <v>147.20844500283519</v>
      </c>
      <c r="F43" s="39">
        <f>E43</f>
        <v>147.20844500283519</v>
      </c>
      <c r="G43" s="39">
        <f>[1]Calculations!B284*TCapacity</f>
        <v>55.708445002835184</v>
      </c>
      <c r="H43" s="39">
        <f>[1]Calculations!B42*TCapacity</f>
        <v>58.016847588246087</v>
      </c>
      <c r="I43" s="39">
        <f>[1]Calculations!B202*TCapacity</f>
        <v>91.5</v>
      </c>
      <c r="J43" s="39">
        <f>H43</f>
        <v>58.016847588246087</v>
      </c>
      <c r="K43" s="39">
        <f>I43</f>
        <v>91.5</v>
      </c>
      <c r="L43" s="39">
        <f>[1]Calculations!B60*TCapacity</f>
        <v>149.51684758824609</v>
      </c>
      <c r="M43" s="39">
        <f>[1]Calculations!B60*TCapacity</f>
        <v>149.51684758824609</v>
      </c>
      <c r="N43" s="39">
        <f>'[1]System Diagram'!AE29*TCapacity</f>
        <v>158.75</v>
      </c>
      <c r="O43" s="39">
        <f>'[1]System Diagram'!AE29*TCapacity</f>
        <v>158.75</v>
      </c>
      <c r="P43" s="39">
        <f>[1]Calculations!B185*TCapacity</f>
        <v>103.34879588002819</v>
      </c>
      <c r="Q43" s="39">
        <f>P43</f>
        <v>103.34879588002819</v>
      </c>
      <c r="R43" s="39">
        <f>[1]Calculations!B22*TCapacity</f>
        <v>46.168051708217916</v>
      </c>
      <c r="S43" s="39">
        <f>[1]Calculations!B22*TCapacity</f>
        <v>46.168051708217916</v>
      </c>
      <c r="T43" s="39">
        <f>[1]Calculations!B615*TCapacity</f>
        <v>72.333333333333329</v>
      </c>
      <c r="U43" s="39">
        <f>[1]Calculations!B615*TCapacity</f>
        <v>72.333333333333329</v>
      </c>
      <c r="V43" s="39">
        <f>[1]Calculations!B598*TCapacity</f>
        <v>46.168051708217916</v>
      </c>
      <c r="W43" s="39">
        <f>V43</f>
        <v>46.168051708217916</v>
      </c>
      <c r="X43" s="39">
        <f>[1]Calculations!B19*TCapacity</f>
        <v>43.859649122807014</v>
      </c>
      <c r="Y43" s="40">
        <f>[1]Calculations!B18*TCapacity</f>
        <v>2.3084025854108976</v>
      </c>
      <c r="Z43" s="39">
        <f>[1]Calculations!B19*TCapacity</f>
        <v>43.859649122807014</v>
      </c>
      <c r="AA43" s="39">
        <f>[1]Calculations!B15*TCapacity</f>
        <v>41.666666666666664</v>
      </c>
      <c r="AB43" s="39">
        <f>[1]Calculations!B21*TCapacity</f>
        <v>2.1929824561403506</v>
      </c>
      <c r="AC43" s="39">
        <f>[1]Calculations!B15*TCapacity</f>
        <v>41.666666666666664</v>
      </c>
      <c r="AD43" s="39">
        <f>[1]Calculations!B76*TCapacity</f>
        <v>39.473684210526315</v>
      </c>
      <c r="AE43" s="39">
        <f>[1]Calculations!B83*TCapacity</f>
        <v>41.666666666666664</v>
      </c>
      <c r="AF43" s="41">
        <f>[1]Calculations!B25*TCapacity</f>
        <v>103.34879588002819</v>
      </c>
      <c r="AG43" s="42">
        <f>AG44/[1]Calculations!D458</f>
        <v>73.874999999999986</v>
      </c>
      <c r="AH43" s="43">
        <f>'[1]System Diagram'!F26*TCapacity</f>
        <v>73.874999999999986</v>
      </c>
      <c r="AI43" s="39"/>
      <c r="AJ43" s="44" t="s">
        <v>61</v>
      </c>
      <c r="AK43" s="45">
        <f>0.16693*1000*TCapacity/(1000/24)</f>
        <v>166.93</v>
      </c>
      <c r="AL43" s="39">
        <f>0.06921*1000*TCapacity/(1000/24)</f>
        <v>69.209999999999994</v>
      </c>
      <c r="AM43" s="39">
        <f>0.78515*1000*TCapacity/(1000/24)</f>
        <v>785.15</v>
      </c>
      <c r="AN43" s="39">
        <f>0.30878*1000*TCapacity/(1000/24)</f>
        <v>308.77999999999997</v>
      </c>
      <c r="AO43" s="39">
        <f>0.05417*1000*TCapacity/(1000/24)</f>
        <v>54.170000000000009</v>
      </c>
      <c r="AP43" s="39">
        <f>0.04837*1000*TCapacity/(1000/24)</f>
        <v>48.370000000000005</v>
      </c>
      <c r="AQ43" s="39">
        <f>0.01038*1000*TCapacity/(1000/24)</f>
        <v>10.38</v>
      </c>
      <c r="AR43" s="39">
        <f>0.00964*1000*TCapacity/(1000/24)</f>
        <v>9.6399999999999988</v>
      </c>
      <c r="AS43" s="10"/>
    </row>
    <row r="44" spans="1:45">
      <c r="A44" s="46" t="s">
        <v>62</v>
      </c>
      <c r="B44" s="47">
        <f>B43*[1]Calculations!B71</f>
        <v>85412.5</v>
      </c>
      <c r="C44" s="48">
        <f t="shared" si="0"/>
        <v>85412.5</v>
      </c>
      <c r="D44" s="48">
        <f t="shared" si="0"/>
        <v>85412.5</v>
      </c>
      <c r="E44" s="48">
        <f>E43*[1]Calculations!D171</f>
        <v>157363.42878223918</v>
      </c>
      <c r="F44" s="48">
        <f>E44</f>
        <v>157363.42878223918</v>
      </c>
      <c r="G44" s="49">
        <f>G43*[1]Calculations!D292</f>
        <v>59551.419876788343</v>
      </c>
      <c r="H44" s="49">
        <f>H43*[1]Calculations!D333</f>
        <v>61935.890358494784</v>
      </c>
      <c r="I44" s="49">
        <f>I43*[1]Calculations!D212</f>
        <v>97812.008905450828</v>
      </c>
      <c r="J44" s="49">
        <f>H44</f>
        <v>61935.890358494784</v>
      </c>
      <c r="K44" s="49">
        <f>I44</f>
        <v>97812.008905450828</v>
      </c>
      <c r="L44" s="49">
        <f>J44+K44</f>
        <v>159747.89926394561</v>
      </c>
      <c r="M44" s="49">
        <f>L44</f>
        <v>159747.89926394561</v>
      </c>
      <c r="N44" s="49">
        <f>N43*[1]Calculations!D526</f>
        <v>153670</v>
      </c>
      <c r="O44" s="49">
        <f>N44</f>
        <v>153670</v>
      </c>
      <c r="P44" s="49">
        <f>P43*[1]Calculations!D193</f>
        <v>112213.49669411914</v>
      </c>
      <c r="Q44" s="49">
        <f>P44</f>
        <v>112213.49669411914</v>
      </c>
      <c r="R44" s="49">
        <f>R43*[1]Calculations!D314</f>
        <v>45300.092336103422</v>
      </c>
      <c r="S44" s="49">
        <f>S43*[1]Calculations!D314</f>
        <v>45300.092336103422</v>
      </c>
      <c r="T44" s="49">
        <f>T43*[1]Calculations!D623</f>
        <v>72052.679999999993</v>
      </c>
      <c r="U44" s="49">
        <f>U43*[1]Calculations!D623</f>
        <v>72052.679999999993</v>
      </c>
      <c r="V44" s="49">
        <f>S44</f>
        <v>45300.092336103422</v>
      </c>
      <c r="W44" s="49">
        <f>V44</f>
        <v>45300.092336103422</v>
      </c>
      <c r="X44" s="49">
        <f>X43*[1]Calculations!D606</f>
        <v>43592.982456140351</v>
      </c>
      <c r="Y44" s="49">
        <f>W44-X44</f>
        <v>1707.1098799630709</v>
      </c>
      <c r="Z44" s="49">
        <f>Z43*[1]Calculations!D606</f>
        <v>43592.982456140351</v>
      </c>
      <c r="AA44" s="49">
        <f>AA43*[1]Calculations!B57</f>
        <v>41487.5</v>
      </c>
      <c r="AB44" s="49">
        <f>Z44-AA44</f>
        <v>2105.4824561403511</v>
      </c>
      <c r="AC44" s="49">
        <f>AC43*[1]Calculations!B57</f>
        <v>41487.5</v>
      </c>
      <c r="AD44" s="49">
        <f>AD43*[1]Calculations!D402</f>
        <v>41481.636064436228</v>
      </c>
      <c r="AE44" s="49">
        <f>AE43*[1]Calculations!B86</f>
        <v>43658.522074807108</v>
      </c>
      <c r="AF44" s="50">
        <f>AF43*[1]Calculations!D441</f>
        <v>112213.49669411914</v>
      </c>
      <c r="AG44" s="51">
        <f>AH44</f>
        <v>75532.93968749998</v>
      </c>
      <c r="AH44" s="52">
        <f>AH43*[1]Calculations!D458</f>
        <v>75532.93968749998</v>
      </c>
      <c r="AI44" s="53"/>
      <c r="AJ44" s="44" t="s">
        <v>63</v>
      </c>
      <c r="AK44" s="54">
        <f>0.19841*1000*TCapacity/(1000/24)</f>
        <v>198.40999999999997</v>
      </c>
      <c r="AL44" s="53">
        <f>0.06944*1000*TCapacity/(1000/24)</f>
        <v>69.44</v>
      </c>
      <c r="AM44" s="53">
        <f>0.81019*1000*TCapacity/(1000/24)</f>
        <v>810.18999999999994</v>
      </c>
      <c r="AN44" s="53">
        <f>0.31667*1000*TCapacity/(1000/24)</f>
        <v>316.67</v>
      </c>
      <c r="AO44" s="53">
        <f>0.05556*1000*TCapacity/(1000/24)</f>
        <v>55.559999999999995</v>
      </c>
      <c r="AP44" s="53">
        <f>0.10399*1000*TCapacity/(1000/24)</f>
        <v>103.99</v>
      </c>
      <c r="AQ44" s="53">
        <f>0.01042*1000*TCapacity/(1000/24)</f>
        <v>10.42</v>
      </c>
      <c r="AR44" s="53">
        <f>0.01155*1000*TCapacity/(1000/24)</f>
        <v>11.549999999999999</v>
      </c>
      <c r="AS44" s="10"/>
    </row>
    <row r="45" spans="1:45" ht="29.1">
      <c r="A45" s="30" t="s">
        <v>64</v>
      </c>
      <c r="B45" s="55">
        <v>30</v>
      </c>
      <c r="C45" s="56">
        <v>27</v>
      </c>
      <c r="D45" s="56">
        <f>C45</f>
        <v>27</v>
      </c>
      <c r="E45" s="56">
        <v>5</v>
      </c>
      <c r="F45" s="56">
        <v>23</v>
      </c>
      <c r="G45" s="57">
        <f>F45</f>
        <v>23</v>
      </c>
      <c r="H45" s="57">
        <f>G45</f>
        <v>23</v>
      </c>
      <c r="I45" s="57">
        <f>F45</f>
        <v>23</v>
      </c>
      <c r="J45" s="57">
        <v>19</v>
      </c>
      <c r="K45" s="57">
        <v>19</v>
      </c>
      <c r="L45" s="57">
        <v>19</v>
      </c>
      <c r="M45" s="57">
        <v>15</v>
      </c>
      <c r="N45" s="57">
        <v>3</v>
      </c>
      <c r="O45" s="57">
        <v>5</v>
      </c>
      <c r="P45" s="57">
        <v>15</v>
      </c>
      <c r="Q45" s="57">
        <v>10</v>
      </c>
      <c r="R45" s="57">
        <v>15</v>
      </c>
      <c r="S45" s="57">
        <v>13</v>
      </c>
      <c r="T45" s="57">
        <v>5</v>
      </c>
      <c r="U45" s="57">
        <v>3</v>
      </c>
      <c r="V45" s="57">
        <v>11</v>
      </c>
      <c r="W45" s="57">
        <v>110</v>
      </c>
      <c r="X45" s="57">
        <v>5</v>
      </c>
      <c r="Y45" s="57">
        <v>23</v>
      </c>
      <c r="Z45" s="57">
        <v>105</v>
      </c>
      <c r="AA45" s="57">
        <v>10</v>
      </c>
      <c r="AB45" s="57">
        <v>10</v>
      </c>
      <c r="AC45" s="57">
        <v>5</v>
      </c>
      <c r="AD45" s="57">
        <v>10</v>
      </c>
      <c r="AE45" s="57">
        <v>10</v>
      </c>
      <c r="AF45" s="58">
        <v>6</v>
      </c>
      <c r="AG45" s="46">
        <v>3</v>
      </c>
      <c r="AH45" s="59">
        <v>5</v>
      </c>
      <c r="AI45" s="57"/>
      <c r="AJ45" s="46"/>
      <c r="AK45" s="59">
        <v>27</v>
      </c>
      <c r="AL45" s="57">
        <v>27</v>
      </c>
      <c r="AM45" s="57">
        <v>27</v>
      </c>
      <c r="AN45" s="57">
        <v>5</v>
      </c>
      <c r="AO45" s="57">
        <v>5</v>
      </c>
      <c r="AP45" s="57">
        <v>5</v>
      </c>
      <c r="AQ45" s="57">
        <v>5</v>
      </c>
      <c r="AR45" s="57">
        <v>27</v>
      </c>
    </row>
    <row r="46" spans="1:45" ht="29.1">
      <c r="A46" s="60" t="s">
        <v>65</v>
      </c>
      <c r="B46" s="61">
        <f>B45/14.50377</f>
        <v>2.0684277260326107</v>
      </c>
      <c r="C46" s="62">
        <f t="shared" ref="C46:AH46" si="1">C45/14.50377</f>
        <v>1.8615849534293498</v>
      </c>
      <c r="D46" s="62">
        <f t="shared" si="1"/>
        <v>1.8615849534293498</v>
      </c>
      <c r="E46" s="62">
        <f t="shared" si="1"/>
        <v>0.34473795433876847</v>
      </c>
      <c r="F46" s="62">
        <f t="shared" si="1"/>
        <v>1.585794589958335</v>
      </c>
      <c r="G46" s="62">
        <f t="shared" si="1"/>
        <v>1.585794589958335</v>
      </c>
      <c r="H46" s="62">
        <f t="shared" si="1"/>
        <v>1.585794589958335</v>
      </c>
      <c r="I46" s="62">
        <f t="shared" si="1"/>
        <v>1.585794589958335</v>
      </c>
      <c r="J46" s="62">
        <f t="shared" si="1"/>
        <v>1.3100042264873202</v>
      </c>
      <c r="K46" s="62">
        <f t="shared" si="1"/>
        <v>1.3100042264873202</v>
      </c>
      <c r="L46" s="62">
        <f t="shared" si="1"/>
        <v>1.3100042264873202</v>
      </c>
      <c r="M46" s="62">
        <f t="shared" si="1"/>
        <v>1.0342138630163054</v>
      </c>
      <c r="N46" s="62">
        <f t="shared" si="1"/>
        <v>0.20684277260326109</v>
      </c>
      <c r="O46" s="62">
        <f t="shared" si="1"/>
        <v>0.34473795433876847</v>
      </c>
      <c r="P46" s="62">
        <f t="shared" si="1"/>
        <v>1.0342138630163054</v>
      </c>
      <c r="Q46" s="62">
        <f t="shared" si="1"/>
        <v>0.68947590867753694</v>
      </c>
      <c r="R46" s="62">
        <f t="shared" si="1"/>
        <v>1.0342138630163054</v>
      </c>
      <c r="S46" s="62">
        <f t="shared" si="1"/>
        <v>0.89631868128079806</v>
      </c>
      <c r="T46" s="62">
        <f t="shared" si="1"/>
        <v>0.34473795433876847</v>
      </c>
      <c r="U46" s="62">
        <f t="shared" si="1"/>
        <v>0.20684277260326109</v>
      </c>
      <c r="V46" s="62">
        <f t="shared" si="1"/>
        <v>0.75842349954529065</v>
      </c>
      <c r="W46" s="62">
        <f t="shared" si="1"/>
        <v>7.5842349954529071</v>
      </c>
      <c r="X46" s="62">
        <f t="shared" si="1"/>
        <v>0.34473795433876847</v>
      </c>
      <c r="Y46" s="62">
        <f t="shared" si="1"/>
        <v>1.585794589958335</v>
      </c>
      <c r="Z46" s="62">
        <f t="shared" si="1"/>
        <v>7.2394970411141379</v>
      </c>
      <c r="AA46" s="62">
        <f t="shared" si="1"/>
        <v>0.68947590867753694</v>
      </c>
      <c r="AB46" s="62">
        <f t="shared" si="1"/>
        <v>0.68947590867753694</v>
      </c>
      <c r="AC46" s="62">
        <f t="shared" si="1"/>
        <v>0.34473795433876847</v>
      </c>
      <c r="AD46" s="62">
        <f t="shared" si="1"/>
        <v>0.68947590867753694</v>
      </c>
      <c r="AE46" s="62">
        <f t="shared" si="1"/>
        <v>0.68947590867753694</v>
      </c>
      <c r="AF46" s="62">
        <f t="shared" si="1"/>
        <v>0.41368554520652218</v>
      </c>
      <c r="AG46" s="62">
        <f t="shared" si="1"/>
        <v>0.20684277260326109</v>
      </c>
      <c r="AH46" s="62">
        <f t="shared" si="1"/>
        <v>0.34473795433876847</v>
      </c>
      <c r="AI46" s="62"/>
      <c r="AJ46" s="63"/>
      <c r="AK46" s="43">
        <f t="shared" ref="AK46:AQ46" si="2">AK45/14.50377</f>
        <v>1.8615849534293498</v>
      </c>
      <c r="AL46" s="62">
        <f t="shared" si="2"/>
        <v>1.8615849534293498</v>
      </c>
      <c r="AM46" s="62">
        <f t="shared" si="2"/>
        <v>1.8615849534293498</v>
      </c>
      <c r="AN46" s="62">
        <f t="shared" si="2"/>
        <v>0.34473795433876847</v>
      </c>
      <c r="AO46" s="62">
        <f t="shared" si="2"/>
        <v>0.34473795433876847</v>
      </c>
      <c r="AP46" s="62">
        <f t="shared" si="2"/>
        <v>0.34473795433876847</v>
      </c>
      <c r="AQ46" s="62">
        <f t="shared" si="2"/>
        <v>0.34473795433876847</v>
      </c>
      <c r="AR46" s="62">
        <f>AR45/14.50377</f>
        <v>1.8615849534293498</v>
      </c>
      <c r="AS46" s="64"/>
    </row>
    <row r="47" spans="1:45" ht="29.1">
      <c r="A47" s="60" t="s">
        <v>66</v>
      </c>
      <c r="B47" s="47">
        <f>[1]Calculations!B66*1000000</f>
        <v>35000</v>
      </c>
      <c r="C47" s="48">
        <f>B47</f>
        <v>35000</v>
      </c>
      <c r="D47" s="48">
        <f>C47</f>
        <v>35000</v>
      </c>
      <c r="E47" s="48">
        <v>0</v>
      </c>
      <c r="F47" s="48">
        <v>0</v>
      </c>
      <c r="G47" s="49">
        <f>F47</f>
        <v>0</v>
      </c>
      <c r="H47" s="49">
        <f>G47</f>
        <v>0</v>
      </c>
      <c r="I47" s="49">
        <f>E47</f>
        <v>0</v>
      </c>
      <c r="J47" s="49">
        <f t="shared" ref="J47:K49" si="3">H47</f>
        <v>0</v>
      </c>
      <c r="K47" s="49">
        <f t="shared" si="3"/>
        <v>0</v>
      </c>
      <c r="L47" s="49">
        <v>0</v>
      </c>
      <c r="M47" s="49">
        <f>L47</f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  <c r="W47" s="49">
        <v>0</v>
      </c>
      <c r="X47" s="49">
        <v>0</v>
      </c>
      <c r="Y47" s="49">
        <v>0</v>
      </c>
      <c r="Z47" s="49">
        <v>0</v>
      </c>
      <c r="AA47" s="49">
        <v>0</v>
      </c>
      <c r="AB47" s="49">
        <v>0</v>
      </c>
      <c r="AC47" s="49">
        <f>Y47</f>
        <v>0</v>
      </c>
      <c r="AD47" s="49">
        <f>[1]Calculations!B77*1000000</f>
        <v>73888.888888888891</v>
      </c>
      <c r="AE47" s="49">
        <f>[1]Calculations!B85*1000000</f>
        <v>70000</v>
      </c>
      <c r="AF47" s="50">
        <v>0</v>
      </c>
      <c r="AG47" s="51">
        <v>0</v>
      </c>
      <c r="AH47" s="52">
        <v>0</v>
      </c>
      <c r="AI47" s="49"/>
      <c r="AJ47" s="51"/>
      <c r="AK47" s="52">
        <v>0</v>
      </c>
      <c r="AL47" s="49">
        <v>0</v>
      </c>
      <c r="AM47" s="49">
        <v>0</v>
      </c>
      <c r="AN47" s="49">
        <v>0</v>
      </c>
      <c r="AO47" s="49">
        <v>0</v>
      </c>
      <c r="AP47" s="49">
        <v>0</v>
      </c>
      <c r="AQ47" s="49">
        <v>0</v>
      </c>
      <c r="AR47" s="49">
        <v>0</v>
      </c>
      <c r="AS47" s="65"/>
    </row>
    <row r="48" spans="1:45" ht="57.95">
      <c r="A48" s="66" t="s">
        <v>67</v>
      </c>
      <c r="B48" s="67">
        <v>0</v>
      </c>
      <c r="C48" s="68">
        <v>0</v>
      </c>
      <c r="D48" s="68">
        <v>0</v>
      </c>
      <c r="E48" s="69">
        <f>[1]Calculations!B34</f>
        <v>0.52303285269495303</v>
      </c>
      <c r="F48" s="70">
        <f>E48</f>
        <v>0.52303285269495303</v>
      </c>
      <c r="G48" s="71">
        <f>[1]Calculations!B34</f>
        <v>0.52303285269495303</v>
      </c>
      <c r="H48" s="71">
        <f>[1]Calculations!B41</f>
        <v>0.51017986423846273</v>
      </c>
      <c r="I48" s="71">
        <f>[1]Calculations!B34</f>
        <v>0.52303285269495303</v>
      </c>
      <c r="J48" s="71">
        <f t="shared" si="3"/>
        <v>0.51017986423846273</v>
      </c>
      <c r="K48" s="71">
        <f t="shared" si="3"/>
        <v>0.52303285269495303</v>
      </c>
      <c r="L48" s="71">
        <f>[1]Calculations!B59</f>
        <v>0.51804552260900016</v>
      </c>
      <c r="M48" s="71">
        <f>L48</f>
        <v>0.51804552260900016</v>
      </c>
      <c r="N48" s="71">
        <v>0</v>
      </c>
      <c r="O48" s="71">
        <v>0</v>
      </c>
      <c r="P48" s="71">
        <f>[1]Calculations!B23</f>
        <v>0.745</v>
      </c>
      <c r="Q48" s="71">
        <f>[1]Calculations!B23</f>
        <v>0.745</v>
      </c>
      <c r="R48" s="71">
        <f>[1]Calculations!F17</f>
        <v>0.01</v>
      </c>
      <c r="S48" s="71">
        <f>[1]Calculations!F17</f>
        <v>0.01</v>
      </c>
      <c r="T48" s="71">
        <v>0</v>
      </c>
      <c r="U48" s="71">
        <v>0</v>
      </c>
      <c r="V48" s="71">
        <f>[1]Calculations!F17</f>
        <v>0.01</v>
      </c>
      <c r="W48" s="71">
        <f>[1]Calculations!F17</f>
        <v>0.01</v>
      </c>
      <c r="X48" s="71">
        <v>0</v>
      </c>
      <c r="Y48" s="71">
        <f>[1]Calculations!B17</f>
        <v>0.19999999999999984</v>
      </c>
      <c r="Z48" s="71">
        <v>0</v>
      </c>
      <c r="AA48" s="71">
        <v>0</v>
      </c>
      <c r="AB48" s="71">
        <v>0</v>
      </c>
      <c r="AC48" s="71">
        <v>0</v>
      </c>
      <c r="AD48" s="71">
        <v>0</v>
      </c>
      <c r="AE48" s="71">
        <v>0</v>
      </c>
      <c r="AF48" s="72">
        <f>[1]Calculations!B23</f>
        <v>0.745</v>
      </c>
      <c r="AG48" s="73">
        <v>0</v>
      </c>
      <c r="AH48" s="74">
        <v>0</v>
      </c>
      <c r="AI48" s="71"/>
      <c r="AJ48" s="73"/>
      <c r="AK48" s="74"/>
      <c r="AL48" s="71"/>
      <c r="AM48" s="71"/>
      <c r="AN48" s="71"/>
      <c r="AO48" s="71"/>
      <c r="AP48" s="71"/>
      <c r="AQ48" s="71"/>
      <c r="AR48" s="71"/>
      <c r="AS48" s="65"/>
    </row>
    <row r="49" spans="1:44" ht="15" thickBot="1">
      <c r="A49" s="75" t="s">
        <v>68</v>
      </c>
      <c r="B49" s="76">
        <v>7.8</v>
      </c>
      <c r="C49" s="77">
        <f>B49</f>
        <v>7.8</v>
      </c>
      <c r="D49" s="77">
        <v>6.5</v>
      </c>
      <c r="E49" s="77">
        <v>6.5</v>
      </c>
      <c r="F49" s="77">
        <v>7</v>
      </c>
      <c r="G49" s="78">
        <f>F49</f>
        <v>7</v>
      </c>
      <c r="H49" s="78">
        <f>G49</f>
        <v>7</v>
      </c>
      <c r="I49" s="78">
        <f>F49</f>
        <v>7</v>
      </c>
      <c r="J49" s="78">
        <f t="shared" si="3"/>
        <v>7</v>
      </c>
      <c r="K49" s="78">
        <f t="shared" si="3"/>
        <v>7</v>
      </c>
      <c r="L49" s="78">
        <v>7</v>
      </c>
      <c r="M49" s="78">
        <f>L49</f>
        <v>7</v>
      </c>
      <c r="N49" s="78">
        <v>7</v>
      </c>
      <c r="O49" s="78">
        <v>7</v>
      </c>
      <c r="P49" s="78">
        <v>7</v>
      </c>
      <c r="Q49" s="78">
        <v>7</v>
      </c>
      <c r="R49" s="78">
        <v>7</v>
      </c>
      <c r="S49" s="78">
        <v>7</v>
      </c>
      <c r="T49" s="78">
        <v>7</v>
      </c>
      <c r="U49" s="78">
        <v>7</v>
      </c>
      <c r="V49" s="78">
        <v>7</v>
      </c>
      <c r="W49" s="78">
        <v>7</v>
      </c>
      <c r="X49" s="78">
        <v>7</v>
      </c>
      <c r="Y49" s="78">
        <v>7</v>
      </c>
      <c r="Z49" s="78">
        <v>7</v>
      </c>
      <c r="AA49" s="78">
        <v>7</v>
      </c>
      <c r="AB49" s="78">
        <v>7</v>
      </c>
      <c r="AC49" s="78">
        <v>7</v>
      </c>
      <c r="AD49" s="78">
        <v>7</v>
      </c>
      <c r="AE49" s="78">
        <v>7</v>
      </c>
      <c r="AF49" s="79">
        <v>7</v>
      </c>
      <c r="AG49" s="80">
        <v>7</v>
      </c>
      <c r="AH49" s="81">
        <v>7</v>
      </c>
      <c r="AI49" s="78"/>
      <c r="AJ49" s="80"/>
      <c r="AK49" s="81"/>
      <c r="AL49" s="78"/>
      <c r="AM49" s="78"/>
      <c r="AN49" s="78"/>
      <c r="AO49" s="78"/>
      <c r="AP49" s="78"/>
      <c r="AQ49" s="78"/>
      <c r="AR49" s="78"/>
    </row>
    <row r="50" spans="1:44" ht="43.5">
      <c r="A50" s="21" t="s">
        <v>69</v>
      </c>
      <c r="B50" s="21"/>
      <c r="C50" s="21"/>
      <c r="D50" s="21" t="s">
        <v>70</v>
      </c>
      <c r="E50" s="21"/>
      <c r="F50" s="21"/>
      <c r="J50" s="65">
        <f>-[1]Calculations!M330</f>
        <v>2318.2968637244621</v>
      </c>
      <c r="K50" s="65">
        <f>-[1]Calculations!M209</f>
        <v>3528.1941480218111</v>
      </c>
      <c r="M50" s="65">
        <f>-[1]Calculations!M540</f>
        <v>1794.0376271285754</v>
      </c>
      <c r="O50" s="65">
        <f>-[1]Calculations!M523</f>
        <v>-1794.0972500000003</v>
      </c>
      <c r="Q50" s="65">
        <f>-[1]Calculations!M190</f>
        <v>-3527.8127944683956</v>
      </c>
      <c r="S50" s="65">
        <f>-[1]Calculations!M311</f>
        <v>-2318.0963250230843</v>
      </c>
      <c r="U50" s="65">
        <f>-[1]Calculations!M620</f>
        <v>585.57213036000007</v>
      </c>
      <c r="V50" s="65">
        <f>-[1]Calculations!M603</f>
        <v>-585.81702923976604</v>
      </c>
      <c r="AF50" s="65">
        <f>-[1]Calculations!M438</f>
        <v>-587.9687990780659</v>
      </c>
      <c r="AH50" s="65">
        <f>-[1]Calculations!M455</f>
        <v>587.8712959849023</v>
      </c>
    </row>
    <row r="51" spans="1:44" ht="29.1">
      <c r="A51" s="21" t="s">
        <v>71</v>
      </c>
      <c r="B51" s="82">
        <f>-O50</f>
        <v>1794.0972500000003</v>
      </c>
      <c r="C51" s="21" t="s">
        <v>72</v>
      </c>
      <c r="D51" s="83">
        <f>B51/TCapacity</f>
        <v>43.058334000000009</v>
      </c>
      <c r="E51" s="21"/>
      <c r="F51" s="21"/>
    </row>
    <row r="52" spans="1:44" ht="29.1">
      <c r="A52" s="21" t="s">
        <v>73</v>
      </c>
      <c r="B52" s="65">
        <f>U50+AH50</f>
        <v>1173.4434263449025</v>
      </c>
      <c r="C52" t="s">
        <v>72</v>
      </c>
      <c r="D52" s="11">
        <f>B52/TCapacity</f>
        <v>28.162642232277662</v>
      </c>
    </row>
    <row r="53" spans="1:44" ht="16.5">
      <c r="A53" s="84">
        <f>1000/24</f>
        <v>41.666666666666664</v>
      </c>
      <c r="B53" s="84" t="s">
        <v>74</v>
      </c>
      <c r="C53" s="84">
        <f>C44/'[1]Properties Reference Tables'!L62*1000</f>
        <v>79735.343539955182</v>
      </c>
      <c r="E53" s="84"/>
      <c r="I53" s="85"/>
      <c r="K53" s="10"/>
      <c r="L53" s="11"/>
      <c r="P53" s="10"/>
      <c r="T53" s="84">
        <f>(S44*S47+AC44*AC47)/T44</f>
        <v>0</v>
      </c>
      <c r="Y53" s="65"/>
      <c r="Z53" s="84">
        <f>N44*N47/Z44</f>
        <v>0</v>
      </c>
      <c r="AB53" s="65"/>
      <c r="AE53" s="11"/>
      <c r="AI53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197B6B6482A643B72B2AEA4AF85BA9" ma:contentTypeVersion="10" ma:contentTypeDescription="Create a new document." ma:contentTypeScope="" ma:versionID="8aec7b3dc37e60dd09ba7e2c84d56f1c">
  <xsd:schema xmlns:xsd="http://www.w3.org/2001/XMLSchema" xmlns:xs="http://www.w3.org/2001/XMLSchema" xmlns:p="http://schemas.microsoft.com/office/2006/metadata/properties" xmlns:ns1="http://schemas.microsoft.com/sharepoint/v3" xmlns:ns2="aea6319c-d19b-4de9-af43-fb6354d6a9b4" targetNamespace="http://schemas.microsoft.com/office/2006/metadata/properties" ma:root="true" ma:fieldsID="277f5b562b3130c2cdb8175ee027b643" ns1:_="" ns2:_="">
    <xsd:import namespace="http://schemas.microsoft.com/sharepoint/v3"/>
    <xsd:import namespace="aea6319c-d19b-4de9-af43-fb6354d6a9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6319c-d19b-4de9-af43-fb6354d6a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111E67-37C0-4E7A-ACBD-831771C9E5D5}"/>
</file>

<file path=customXml/itemProps2.xml><?xml version="1.0" encoding="utf-8"?>
<ds:datastoreItem xmlns:ds="http://schemas.openxmlformats.org/officeDocument/2006/customXml" ds:itemID="{2602A431-3B38-4004-9365-AF9B0106F6AE}"/>
</file>

<file path=customXml/itemProps3.xml><?xml version="1.0" encoding="utf-8"?>
<ds:datastoreItem xmlns:ds="http://schemas.openxmlformats.org/officeDocument/2006/customXml" ds:itemID="{3001BED6-05ED-44C1-9754-F70413F93854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Jui Shan Yong</dc:creator>
  <cp:keywords/>
  <dc:description/>
  <cp:lastModifiedBy>Bharath Ramakrishnan</cp:lastModifiedBy>
  <cp:revision/>
  <dcterms:created xsi:type="dcterms:W3CDTF">2025-05-30T23:47:15Z</dcterms:created>
  <dcterms:modified xsi:type="dcterms:W3CDTF">2025-10-06T19:14:45Z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0x010100A2197B6B6482A643B72B2AEA4AF85BA9</vt:lpwstr>
  </property>
</Properties>
</file>