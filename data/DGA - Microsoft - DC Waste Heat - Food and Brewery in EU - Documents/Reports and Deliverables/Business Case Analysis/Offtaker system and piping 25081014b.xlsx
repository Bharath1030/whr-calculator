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3"/>
  <workbookPr/>
  <mc:AlternateContent xmlns:mc="http://schemas.openxmlformats.org/markup-compatibility/2006">
    <mc:Choice Requires="x15">
      <x15ac:absPath xmlns:x15ac="http://schemas.microsoft.com/office/spreadsheetml/2010/11/ac" url="C:\Users\pette\Desktop\DIVERSE\DGA\Project 1\"/>
    </mc:Choice>
  </mc:AlternateContent>
  <xr:revisionPtr revIDLastSave="10" documentId="13_ncr:1_{BDC278C4-F85F-4792-9104-8918E29041B3}" xr6:coauthVersionLast="47" xr6:coauthVersionMax="47" xr10:uidLastSave="{375564A9-43B1-4A3F-B396-41147F3E1212}"/>
  <bookViews>
    <workbookView xWindow="-103" yWindow="-103" windowWidth="19406" windowHeight="12206" firstSheet="2" activeTab="1" xr2:uid="{5C22DA52-69B4-413E-A57C-8C16D92489D4}"/>
  </bookViews>
  <sheets>
    <sheet name="Introduction" sheetId="3" r:id="rId1"/>
    <sheet name="Offtaker and Piping" sheetId="1" r:id="rId2"/>
    <sheet name="System Flow Diagrams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1" l="1"/>
  <c r="I2" i="1"/>
  <c r="I10" i="1"/>
  <c r="I9" i="1"/>
  <c r="D22" i="1"/>
  <c r="I22" i="1"/>
  <c r="H10" i="1"/>
  <c r="H9" i="1"/>
  <c r="H8" i="1"/>
  <c r="H7" i="1"/>
  <c r="D78" i="1" s="1"/>
  <c r="I11" i="1"/>
  <c r="H11" i="1"/>
  <c r="D166" i="1" s="1"/>
  <c r="E166" i="1" s="1"/>
  <c r="F166" i="1" s="1"/>
  <c r="G166" i="1" s="1"/>
  <c r="H166" i="1" s="1"/>
  <c r="I166" i="1" s="1"/>
  <c r="J166" i="1" s="1"/>
  <c r="K166" i="1" s="1"/>
  <c r="L166" i="1" s="1"/>
  <c r="M166" i="1" s="1"/>
  <c r="C24" i="1"/>
  <c r="D96" i="1"/>
  <c r="D105" i="1" s="1"/>
  <c r="D51" i="1"/>
  <c r="I52" i="1" a="1"/>
  <c r="I52" i="1" s="1"/>
  <c r="D157" i="1"/>
  <c r="D158" i="1" s="1"/>
  <c r="D153" i="1"/>
  <c r="E153" i="1" s="1"/>
  <c r="F153" i="1" s="1"/>
  <c r="G153" i="1" s="1"/>
  <c r="H153" i="1" s="1"/>
  <c r="I153" i="1" s="1"/>
  <c r="J153" i="1" s="1"/>
  <c r="K153" i="1" s="1"/>
  <c r="L153" i="1" s="1"/>
  <c r="M153" i="1" s="1"/>
  <c r="D151" i="1"/>
  <c r="E151" i="1" s="1"/>
  <c r="F151" i="1" s="1"/>
  <c r="G151" i="1" s="1"/>
  <c r="H151" i="1" s="1"/>
  <c r="I151" i="1" s="1"/>
  <c r="J151" i="1" s="1"/>
  <c r="K151" i="1" s="1"/>
  <c r="L151" i="1" s="1"/>
  <c r="M151" i="1" s="1"/>
  <c r="D122" i="1"/>
  <c r="D123" i="1" s="1"/>
  <c r="D118" i="1"/>
  <c r="E118" i="1" s="1"/>
  <c r="F118" i="1" s="1"/>
  <c r="G118" i="1" s="1"/>
  <c r="H118" i="1" s="1"/>
  <c r="I118" i="1" s="1"/>
  <c r="J118" i="1" s="1"/>
  <c r="K118" i="1" s="1"/>
  <c r="L118" i="1" s="1"/>
  <c r="M118" i="1" s="1"/>
  <c r="D116" i="1"/>
  <c r="E116" i="1" s="1"/>
  <c r="F116" i="1" s="1"/>
  <c r="G116" i="1" s="1"/>
  <c r="H116" i="1" s="1"/>
  <c r="I116" i="1" s="1"/>
  <c r="J116" i="1" s="1"/>
  <c r="K116" i="1" s="1"/>
  <c r="L116" i="1" s="1"/>
  <c r="M116" i="1" s="1"/>
  <c r="I89" i="1"/>
  <c r="D89" i="1"/>
  <c r="I69" i="1"/>
  <c r="I71" i="1" s="1"/>
  <c r="I102" i="1" s="1"/>
  <c r="D69" i="1"/>
  <c r="D71" i="1" s="1"/>
  <c r="I44" i="1"/>
  <c r="I61" i="1" s="1"/>
  <c r="C162" i="1" s="1"/>
  <c r="D44" i="1"/>
  <c r="D61" i="1" s="1"/>
  <c r="C127" i="1" s="1"/>
  <c r="I35" i="1"/>
  <c r="D35" i="1"/>
  <c r="I34" i="1"/>
  <c r="D34" i="1"/>
  <c r="I33" i="1"/>
  <c r="D33" i="1"/>
  <c r="U18" i="1"/>
  <c r="U17" i="1"/>
  <c r="D131" i="1" l="1"/>
  <c r="E131" i="1" s="1"/>
  <c r="D156" i="1"/>
  <c r="E156" i="1" s="1"/>
  <c r="F156" i="1" s="1"/>
  <c r="G156" i="1" s="1"/>
  <c r="H156" i="1" s="1"/>
  <c r="I156" i="1" s="1"/>
  <c r="J156" i="1" s="1"/>
  <c r="K156" i="1" s="1"/>
  <c r="L156" i="1" s="1"/>
  <c r="M156" i="1" s="1"/>
  <c r="D121" i="1"/>
  <c r="E121" i="1" s="1"/>
  <c r="F121" i="1" s="1"/>
  <c r="G121" i="1" s="1"/>
  <c r="H121" i="1" s="1"/>
  <c r="I121" i="1" s="1"/>
  <c r="J121" i="1" s="1"/>
  <c r="K121" i="1" s="1"/>
  <c r="L121" i="1" s="1"/>
  <c r="M121" i="1" s="1"/>
  <c r="D77" i="1"/>
  <c r="D119" i="1" s="1"/>
  <c r="I77" i="1"/>
  <c r="I81" i="1" s="1"/>
  <c r="I103" i="1" s="1"/>
  <c r="H24" i="1"/>
  <c r="I20" i="1" s="1"/>
  <c r="G164" i="1"/>
  <c r="D155" i="1"/>
  <c r="E155" i="1" s="1"/>
  <c r="F155" i="1" s="1"/>
  <c r="G155" i="1" s="1"/>
  <c r="H155" i="1" s="1"/>
  <c r="I155" i="1" s="1"/>
  <c r="J155" i="1" s="1"/>
  <c r="K155" i="1" s="1"/>
  <c r="L155" i="1" s="1"/>
  <c r="M155" i="1" s="1"/>
  <c r="D120" i="1"/>
  <c r="E120" i="1" s="1"/>
  <c r="F120" i="1" s="1"/>
  <c r="G120" i="1" s="1"/>
  <c r="H120" i="1" s="1"/>
  <c r="I120" i="1" s="1"/>
  <c r="J120" i="1" s="1"/>
  <c r="K120" i="1" s="1"/>
  <c r="L120" i="1" s="1"/>
  <c r="M120" i="1" s="1"/>
  <c r="D36" i="1"/>
  <c r="I36" i="1"/>
  <c r="I60" i="1" s="1"/>
  <c r="C161" i="1" s="1"/>
  <c r="E122" i="1"/>
  <c r="E123" i="1" s="1"/>
  <c r="D164" i="1"/>
  <c r="E164" i="1"/>
  <c r="D150" i="1"/>
  <c r="E150" i="1" s="1"/>
  <c r="F150" i="1" s="1"/>
  <c r="G150" i="1" s="1"/>
  <c r="H150" i="1" s="1"/>
  <c r="I150" i="1" s="1"/>
  <c r="J150" i="1" s="1"/>
  <c r="K150" i="1" s="1"/>
  <c r="L150" i="1" s="1"/>
  <c r="M150" i="1" s="1"/>
  <c r="C163" i="1"/>
  <c r="I53" i="1"/>
  <c r="I62" i="1" s="1"/>
  <c r="D115" i="1"/>
  <c r="D102" i="1"/>
  <c r="D21" i="1"/>
  <c r="D19" i="1"/>
  <c r="D20" i="1"/>
  <c r="D18" i="1"/>
  <c r="F164" i="1"/>
  <c r="D117" i="1"/>
  <c r="E117" i="1" s="1"/>
  <c r="F117" i="1" s="1"/>
  <c r="G117" i="1" s="1"/>
  <c r="H117" i="1" s="1"/>
  <c r="I117" i="1" s="1"/>
  <c r="J117" i="1" s="1"/>
  <c r="K117" i="1" s="1"/>
  <c r="L117" i="1" s="1"/>
  <c r="M117" i="1" s="1"/>
  <c r="D104" i="1"/>
  <c r="D152" i="1"/>
  <c r="E152" i="1" s="1"/>
  <c r="F152" i="1" s="1"/>
  <c r="G152" i="1" s="1"/>
  <c r="H152" i="1" s="1"/>
  <c r="I152" i="1" s="1"/>
  <c r="J152" i="1" s="1"/>
  <c r="K152" i="1" s="1"/>
  <c r="L152" i="1" s="1"/>
  <c r="M152" i="1" s="1"/>
  <c r="I104" i="1"/>
  <c r="U19" i="1"/>
  <c r="U21" i="1" s="1"/>
  <c r="U24" i="1" s="1"/>
  <c r="U26" i="1" s="1"/>
  <c r="W9" i="1" s="1"/>
  <c r="I96" i="1"/>
  <c r="I105" i="1" s="1"/>
  <c r="E157" i="1"/>
  <c r="D129" i="1" l="1"/>
  <c r="D82" i="1"/>
  <c r="D103" i="1" s="1"/>
  <c r="D106" i="1" s="1"/>
  <c r="I106" i="1"/>
  <c r="D154" i="1"/>
  <c r="E154" i="1" s="1"/>
  <c r="F154" i="1" s="1"/>
  <c r="G154" i="1" s="1"/>
  <c r="H154" i="1" s="1"/>
  <c r="I154" i="1" s="1"/>
  <c r="J154" i="1" s="1"/>
  <c r="K154" i="1" s="1"/>
  <c r="L154" i="1" s="1"/>
  <c r="M154" i="1" s="1"/>
  <c r="I18" i="1"/>
  <c r="I19" i="1"/>
  <c r="I21" i="1"/>
  <c r="E119" i="1"/>
  <c r="F119" i="1" s="1"/>
  <c r="G119" i="1" s="1"/>
  <c r="H119" i="1" s="1"/>
  <c r="I119" i="1" s="1"/>
  <c r="J119" i="1" s="1"/>
  <c r="K119" i="1" s="1"/>
  <c r="L119" i="1" s="1"/>
  <c r="M119" i="1" s="1"/>
  <c r="D114" i="1"/>
  <c r="D60" i="1"/>
  <c r="C126" i="1" s="1"/>
  <c r="U27" i="1"/>
  <c r="W12" i="1" s="1"/>
  <c r="F122" i="1"/>
  <c r="F123" i="1" s="1"/>
  <c r="D26" i="1"/>
  <c r="D59" i="1" s="1"/>
  <c r="C125" i="1" s="1"/>
  <c r="F131" i="1"/>
  <c r="E129" i="1"/>
  <c r="H164" i="1"/>
  <c r="E115" i="1"/>
  <c r="F115" i="1" s="1"/>
  <c r="G115" i="1" s="1"/>
  <c r="H115" i="1" s="1"/>
  <c r="I115" i="1" s="1"/>
  <c r="J115" i="1" s="1"/>
  <c r="K115" i="1" s="1"/>
  <c r="L115" i="1" s="1"/>
  <c r="M115" i="1" s="1"/>
  <c r="F157" i="1"/>
  <c r="E158" i="1"/>
  <c r="D149" i="1" l="1"/>
  <c r="E149" i="1" s="1"/>
  <c r="I26" i="1"/>
  <c r="I59" i="1" s="1"/>
  <c r="C160" i="1" s="1"/>
  <c r="C159" i="1" s="1"/>
  <c r="C165" i="1" s="1"/>
  <c r="G122" i="1"/>
  <c r="H122" i="1" s="1"/>
  <c r="F129" i="1"/>
  <c r="G131" i="1"/>
  <c r="G157" i="1"/>
  <c r="F158" i="1"/>
  <c r="E114" i="1"/>
  <c r="D132" i="1"/>
  <c r="I164" i="1"/>
  <c r="C164" i="1" l="1"/>
  <c r="C167" i="1"/>
  <c r="I63" i="1"/>
  <c r="D167" i="1"/>
  <c r="G123" i="1"/>
  <c r="G129" i="1"/>
  <c r="H131" i="1"/>
  <c r="I122" i="1"/>
  <c r="H123" i="1"/>
  <c r="F114" i="1"/>
  <c r="E132" i="1"/>
  <c r="G158" i="1"/>
  <c r="H157" i="1"/>
  <c r="J164" i="1"/>
  <c r="F149" i="1"/>
  <c r="E167" i="1"/>
  <c r="C168" i="1" l="1"/>
  <c r="D168" i="1" s="1"/>
  <c r="E168" i="1" s="1"/>
  <c r="C174" i="1"/>
  <c r="H129" i="1"/>
  <c r="I131" i="1"/>
  <c r="I157" i="1"/>
  <c r="H158" i="1"/>
  <c r="F132" i="1"/>
  <c r="G114" i="1"/>
  <c r="G149" i="1"/>
  <c r="F167" i="1"/>
  <c r="K164" i="1"/>
  <c r="I123" i="1"/>
  <c r="J122" i="1"/>
  <c r="F168" i="1" l="1"/>
  <c r="J131" i="1"/>
  <c r="I129" i="1"/>
  <c r="J123" i="1"/>
  <c r="K122" i="1"/>
  <c r="L164" i="1"/>
  <c r="M164" i="1"/>
  <c r="G167" i="1"/>
  <c r="H149" i="1"/>
  <c r="G132" i="1"/>
  <c r="H114" i="1"/>
  <c r="I158" i="1"/>
  <c r="J157" i="1"/>
  <c r="G168" i="1" l="1"/>
  <c r="J129" i="1"/>
  <c r="K131" i="1"/>
  <c r="K123" i="1"/>
  <c r="L122" i="1"/>
  <c r="J158" i="1"/>
  <c r="K157" i="1"/>
  <c r="H132" i="1"/>
  <c r="I114" i="1"/>
  <c r="H167" i="1"/>
  <c r="I149" i="1"/>
  <c r="H168" i="1" l="1"/>
  <c r="K129" i="1"/>
  <c r="L131" i="1"/>
  <c r="J149" i="1"/>
  <c r="I167" i="1"/>
  <c r="I132" i="1"/>
  <c r="J114" i="1"/>
  <c r="K158" i="1"/>
  <c r="L157" i="1"/>
  <c r="L123" i="1"/>
  <c r="M122" i="1"/>
  <c r="M123" i="1" s="1"/>
  <c r="I168" i="1" l="1"/>
  <c r="L129" i="1"/>
  <c r="M131" i="1"/>
  <c r="M129" i="1" s="1"/>
  <c r="M157" i="1"/>
  <c r="M158" i="1" s="1"/>
  <c r="L158" i="1"/>
  <c r="J132" i="1"/>
  <c r="K114" i="1"/>
  <c r="J167" i="1"/>
  <c r="K149" i="1"/>
  <c r="J168" i="1" l="1"/>
  <c r="L149" i="1"/>
  <c r="K167" i="1"/>
  <c r="K132" i="1"/>
  <c r="L114" i="1"/>
  <c r="K168" i="1" l="1"/>
  <c r="L132" i="1"/>
  <c r="M114" i="1"/>
  <c r="M132" i="1" s="1"/>
  <c r="L167" i="1"/>
  <c r="M149" i="1"/>
  <c r="M167" i="1" s="1"/>
  <c r="L168" i="1" l="1"/>
  <c r="M168" i="1" s="1"/>
  <c r="C175" i="1" s="1"/>
  <c r="D52" i="1" l="1"/>
  <c r="C128" i="1" s="1"/>
  <c r="C124" i="1" s="1"/>
  <c r="C130" i="1" l="1"/>
  <c r="D62" i="1"/>
  <c r="D63" i="1" s="1"/>
  <c r="C132" i="1" l="1"/>
  <c r="C133" i="1" s="1"/>
  <c r="D133" i="1" s="1"/>
  <c r="E133" i="1" s="1"/>
  <c r="F133" i="1" s="1"/>
  <c r="G133" i="1" s="1"/>
  <c r="H133" i="1" s="1"/>
  <c r="I133" i="1" s="1"/>
  <c r="J133" i="1" s="1"/>
  <c r="K133" i="1" s="1"/>
  <c r="L133" i="1" s="1"/>
  <c r="M133" i="1" s="1"/>
  <c r="C140" i="1" s="1"/>
  <c r="C129" i="1"/>
  <c r="C139" i="1" l="1"/>
  <c r="H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Petter Terenius</author>
  </authors>
  <commentList>
    <comment ref="D155" authorId="0" shapeId="0" xr:uid="{6224FA4C-32F8-4551-B44B-490ED9552883}">
      <text>
        <r>
          <rPr>
            <b/>
            <sz val="9"/>
            <color indexed="81"/>
            <rFont val="Tahoma"/>
            <family val="2"/>
          </rPr>
          <t>Petter Terenius:</t>
        </r>
        <r>
          <rPr>
            <sz val="9"/>
            <color indexed="81"/>
            <rFont val="Tahoma"/>
            <family val="2"/>
          </rPr>
          <t xml:space="preserve">
Note that the CO2 avoidance is the same as from the 30 degree scenario; it's just that the temp lift is at the DC side.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<sst xmlns="http://schemas.openxmlformats.org/spreadsheetml/2006/main" count="380" uniqueCount="222">
  <si>
    <t>Introduction</t>
  </si>
  <si>
    <t>This Excel document shows calculations for offtaker's heat reuse scenarios.</t>
  </si>
  <si>
    <t>Large offtakers in the F&amp;B sector often operate at approximately 8 MW.</t>
  </si>
  <si>
    <t>Hence, that range is what these figures are adapted to.</t>
  </si>
  <si>
    <t>It should be noted that there is a major scaling factor in heat reuse, for piping, but also for offtaker's configuration and OPEX costs.</t>
  </si>
  <si>
    <t>In other words, should even bigger offtaker needs be identified, then that would decrease costs per MW.</t>
  </si>
  <si>
    <t>Also note that power costs vary substantially, so they need to be checked when estimating true project costs.</t>
  </si>
  <si>
    <t>For the identified use cases, the figures used are found in the table below. Greyed out cells are not used in the calculations.</t>
  </si>
  <si>
    <t>On the next tab, those numbers are used for the calculations, and a dropdown menu automatically inserts the values from the tables.</t>
  </si>
  <si>
    <t>The third tab hosts the system flow diagrams of the scenarios.</t>
  </si>
  <si>
    <t>Note that manual changes to the populated values will invalidate future dropdown changes (otherwise a VBA macro would be needed, which may conflict with safety protocol).</t>
  </si>
  <si>
    <t>So, please make a copy of this file to experiment with the figures, or re-insert them manually after changes, from the table below.</t>
  </si>
  <si>
    <t>Petter Terenius for DGA, August 2025</t>
  </si>
  <si>
    <t>Location</t>
  </si>
  <si>
    <t>F&amp;B Facility Type</t>
  </si>
  <si>
    <t>Distance (m)</t>
  </si>
  <si>
    <t>1 MWh Electricity (€)</t>
  </si>
  <si>
    <t>1 MWh Natural gas (€)</t>
  </si>
  <si>
    <t>Carbon Tax (€)</t>
  </si>
  <si>
    <t>Carbon Tax Comment</t>
  </si>
  <si>
    <t>CAPEX Subsidies / Green Financing</t>
  </si>
  <si>
    <t>CAPEX Subsidies / Green Financing Comment</t>
  </si>
  <si>
    <t>OPEX subsidy / ton avoided carbon (€)</t>
  </si>
  <si>
    <t>OPEX subsidy… Comment</t>
  </si>
  <si>
    <t>DC Temp (°C)</t>
  </si>
  <si>
    <t>Offtaker Temp (°C)</t>
  </si>
  <si>
    <t>Heat need Total / Heat need DC (MW)</t>
  </si>
  <si>
    <t>Payback period comment</t>
  </si>
  <si>
    <t>European average</t>
  </si>
  <si>
    <t>F&amp;B industry</t>
  </si>
  <si>
    <t>Electricity prices vary widely: must be investigated by actual case.</t>
  </si>
  <si>
    <t>Cheaper per MWh, but carbon taxes and volatility make it less attractive.</t>
  </si>
  <si>
    <t>In the EU, mainly EU ETS.</t>
  </si>
  <si>
    <t>CAPEX subsidies are often generous, especially for replacing fossil systems w/ heat pumps.</t>
  </si>
  <si>
    <t>OPEX support is not formalized.</t>
  </si>
  <si>
    <t>8.0/5.6</t>
  </si>
  <si>
    <t xml:space="preserve">  </t>
  </si>
  <si>
    <t>Germany (Frankfurt)</t>
  </si>
  <si>
    <t>Meat processing</t>
  </si>
  <si>
    <t xml:space="preserve"> </t>
  </si>
  <si>
    <t>EU ETS</t>
  </si>
  <si>
    <t>Max 21,000 euros per heat pump.</t>
  </si>
  <si>
    <t>No direct operational subsidy.</t>
  </si>
  <si>
    <t>UK/England (Newport)</t>
  </si>
  <si>
    <t>Processed food</t>
  </si>
  <si>
    <t>Carbon tax (22 euros/ton) applies mainly to electricity generators</t>
  </si>
  <si>
    <t>Limited. There is a £7,500 guaranteed grant per heat pump.</t>
  </si>
  <si>
    <t>55 (mix)</t>
  </si>
  <si>
    <t>The Netherlands (Agriport A7)</t>
  </si>
  <si>
    <t>Horticulture</t>
  </si>
  <si>
    <t>Dutch national CO₂ levy, semi-aligned w/ EU ETS</t>
  </si>
  <si>
    <t>ISDE subsidy.</t>
  </si>
  <si>
    <t>Proposed solution does not need heat pumps. The calculation is not supported properly.</t>
  </si>
  <si>
    <t>Spain (Zaragoza)</t>
  </si>
  <si>
    <t>Beer</t>
  </si>
  <si>
    <t>Funded via IDAE. Here: 35% for heat pump and another 15% for installation.</t>
  </si>
  <si>
    <t xml:space="preserve">   </t>
  </si>
  <si>
    <t>Sweden (Staffanstorp)</t>
  </si>
  <si>
    <t>Oat milk production</t>
  </si>
  <si>
    <t>In Sweden’s SE3 bidding zone</t>
  </si>
  <si>
    <t>EU ETS. In principle zero, as gas is not used.</t>
  </si>
  <si>
    <t>No fixed amount. Swedish Energy Agency grants, 
EU funding mechanisms</t>
  </si>
  <si>
    <t>Sweden has no gas-powered industries, so the calculation is not supported properly.</t>
  </si>
  <si>
    <t>Payback period, 30°C (if applicable)</t>
  </si>
  <si>
    <t>Offtaker System and Piping</t>
  </si>
  <si>
    <t>System excludes DC costs (infrastructure) and savings (cooling)</t>
  </si>
  <si>
    <t>Distance (m) DC to Offtaker</t>
  </si>
  <si>
    <t>This is NOT used in the calculation; just included for reference</t>
  </si>
  <si>
    <t>Delta-T is 12°C on the DC side. Offtaker power need is 8 MW.</t>
  </si>
  <si>
    <t>Distance in feet</t>
  </si>
  <si>
    <t>Note that changes to the values below</t>
  </si>
  <si>
    <t>Assumes 8760 hour operation.</t>
  </si>
  <si>
    <t>will invalidate further dropdown changes.</t>
  </si>
  <si>
    <t>Temperature Loss Over Distance</t>
  </si>
  <si>
    <t>Electricity price per MWh (€)</t>
  </si>
  <si>
    <t>Outgoing water temperature (30°C) from DC</t>
  </si>
  <si>
    <t>Petter Terenius for DGA, July-August 2025</t>
  </si>
  <si>
    <t>Natural gas price per MWh (€)</t>
  </si>
  <si>
    <t>Ambient temperature (typically 6-10 °C)</t>
  </si>
  <si>
    <t>Carbon tax per ton (€)</t>
  </si>
  <si>
    <t>Heat loss (°C)</t>
  </si>
  <si>
    <t>CAPEX subsidy (%)</t>
  </si>
  <si>
    <t>OPEX subsidy per ton avoided c. (€)</t>
  </si>
  <si>
    <t>Remaining heat (°C)</t>
  </si>
  <si>
    <t>30°C (86°F) scenario</t>
  </si>
  <si>
    <t>65°C (150°F) scenario</t>
  </si>
  <si>
    <t>Water leaves DC at 30°C and returns at 18°C</t>
  </si>
  <si>
    <t>Water leaves DC at 65°C and returns at 53°C</t>
  </si>
  <si>
    <t>PIPING CAPEX</t>
  </si>
  <si>
    <t>Comments</t>
  </si>
  <si>
    <t>Piping Heat Loss Calculator</t>
  </si>
  <si>
    <t>Cost Component</t>
  </si>
  <si>
    <t>Cost/Meter</t>
  </si>
  <si>
    <t>Estimated Cost (€)</t>
  </si>
  <si>
    <t>Water temperature from DC</t>
  </si>
  <si>
    <t>Insulated pipe (forward), 160 mm</t>
  </si>
  <si>
    <t>Insulated HDPE (SDR11) pipe forward; uninsulated same-size HDPE pipe return. Velocity rate: 2.0 m/s.</t>
  </si>
  <si>
    <t>Ambient temperature</t>
  </si>
  <si>
    <t>Likely 6-10 degrees for buried pipe in Europe</t>
  </si>
  <si>
    <t>Uninsulated pipe (return), 160 mm</t>
  </si>
  <si>
    <t>Dimensioning is a factor of heat needs, and affects pipe pricing.</t>
  </si>
  <si>
    <t>Difference water/ambient temp</t>
  </si>
  <si>
    <t>Pipe inner diameter D=0.1308 m</t>
  </si>
  <si>
    <t>Valves, fittings, sensors</t>
  </si>
  <si>
    <t>Valves, fittings, sensors are €4000 per km</t>
  </si>
  <si>
    <t>U value for pipe</t>
  </si>
  <si>
    <t>Insulation value. Varies a lot. U=x W/m²·K</t>
  </si>
  <si>
    <t>https://www.isoplus.group/products/product-portfolio/details/product/isoflex-single-pipe/</t>
  </si>
  <si>
    <t>Installation and trenching</t>
  </si>
  <si>
    <t>Installation</t>
  </si>
  <si>
    <t>Trenching costs are heavily dependent on terrain and on hindering infratructure.</t>
  </si>
  <si>
    <t>Qloss (W/m)</t>
  </si>
  <si>
    <t>Qloss = U*pi*D*deltaT</t>
  </si>
  <si>
    <t>Project management and design</t>
  </si>
  <si>
    <t>Pumps to keep pressure over distances (€5000/10 km)</t>
  </si>
  <si>
    <t>Pumps to keep pressure over distances (€5000 /10 km)</t>
  </si>
  <si>
    <t xml:space="preserve">  Distance (m)</t>
  </si>
  <si>
    <t>Note that at 65°C, steel pipes may be preferable for endurance. This would increase costs by up to 100%.</t>
  </si>
  <si>
    <t>Heat loss (°C/m)</t>
  </si>
  <si>
    <t>Flow rate = 22 kg/s</t>
  </si>
  <si>
    <t>Project management etc</t>
  </si>
  <si>
    <t>Total</t>
  </si>
  <si>
    <t>Heat loss for installation (°C)</t>
  </si>
  <si>
    <t>deltaT = (Qloss)/(flow rate*water specific heat capacity)</t>
  </si>
  <si>
    <r>
      <t xml:space="preserve">HEAT PUMP CAPEX </t>
    </r>
    <r>
      <rPr>
        <i/>
        <sz val="20"/>
        <rFont val="Calibri"/>
        <family val="2"/>
      </rPr>
      <t>per unit</t>
    </r>
  </si>
  <si>
    <t>HEAT PUMP CAPEX</t>
  </si>
  <si>
    <t>% of HP Cost</t>
  </si>
  <si>
    <t>8 MW Heat Pump Unit</t>
  </si>
  <si>
    <t>n/a</t>
  </si>
  <si>
    <t>8 MW High-Temp Heat Pump Unit</t>
  </si>
  <si>
    <t>These figures are rather volatile and must be discussed on a case-by-case basis.</t>
  </si>
  <si>
    <t>System Integration</t>
  </si>
  <si>
    <t>Here, they cost is moderate to high.</t>
  </si>
  <si>
    <t>Automation &amp; Controls</t>
  </si>
  <si>
    <t>Slightly higher price estimate for the 65 degree heat pump, due to untypically high inlet temperature.</t>
  </si>
  <si>
    <t>Installation &amp; Commissioning</t>
  </si>
  <si>
    <t>STORAGE TANK CAPEX</t>
  </si>
  <si>
    <t>Notes</t>
  </si>
  <si>
    <t>% of Tank Cost</t>
  </si>
  <si>
    <t>Tank, 100 m3, plus insulation</t>
  </si>
  <si>
    <t xml:space="preserve">Gives 30 mins </t>
  </si>
  <si>
    <t>Needed to level out fluctuations due to differences in returning temperature from offtaker's processes.</t>
  </si>
  <si>
    <t>Controls, sensors, installation</t>
  </si>
  <si>
    <t>buffer at full heat</t>
  </si>
  <si>
    <t>HEAT EXCHANGER CAPEX</t>
  </si>
  <si>
    <t>HEAT EXCHANGERS CAPEX</t>
  </si>
  <si>
    <t>% of HX Cost</t>
  </si>
  <si>
    <t>Heat Exchanger Industrial Process</t>
  </si>
  <si>
    <t>Heat Exchanger Fluctuations</t>
  </si>
  <si>
    <t>TOTAL SYSTEM CAPEX</t>
  </si>
  <si>
    <t>Piping and Trenching</t>
  </si>
  <si>
    <t>2 Heat Pumps</t>
  </si>
  <si>
    <t>Heat Pump</t>
  </si>
  <si>
    <t>Storage Tank</t>
  </si>
  <si>
    <t>Heat Exchanger</t>
  </si>
  <si>
    <t>2 Heat Exchangers</t>
  </si>
  <si>
    <t>PIPING OPEX</t>
  </si>
  <si>
    <t>Cost / Meter</t>
  </si>
  <si>
    <t>Crude estimate</t>
  </si>
  <si>
    <r>
      <t xml:space="preserve">HEAT PUMP OPEX </t>
    </r>
    <r>
      <rPr>
        <i/>
        <sz val="20"/>
        <rFont val="Calibri"/>
        <family val="2"/>
      </rPr>
      <t>both units</t>
    </r>
  </si>
  <si>
    <t>HEAT PUMP OPEX</t>
  </si>
  <si>
    <t>Electricity HP A</t>
  </si>
  <si>
    <t>COP/Pwr: 3.5/1922</t>
  </si>
  <si>
    <t>Electricity</t>
  </si>
  <si>
    <t>COP: 7.0</t>
  </si>
  <si>
    <t>Electricity HP B</t>
  </si>
  <si>
    <t>COP/Pwr: 3.0/1026</t>
  </si>
  <si>
    <t>Maintenance</t>
  </si>
  <si>
    <t>Temp lift: 12°C</t>
  </si>
  <si>
    <t>Unusually low temperature lift for 65 degree scenario.</t>
  </si>
  <si>
    <t>Monitoring &amp; Control</t>
  </si>
  <si>
    <t>1.08 MW added</t>
  </si>
  <si>
    <t>Could be reconfigured in several ways.</t>
  </si>
  <si>
    <t>Insurance &amp; Admin</t>
  </si>
  <si>
    <t>electricity</t>
  </si>
  <si>
    <t>STORAGE TANK OPEX</t>
  </si>
  <si>
    <t>Total OPEX</t>
  </si>
  <si>
    <t>HEAT EXCHANGER OPEX</t>
  </si>
  <si>
    <t>Maintenance for both units</t>
  </si>
  <si>
    <t>TOTAL SYSTEM OPEX</t>
  </si>
  <si>
    <t>Pipe maintenance</t>
  </si>
  <si>
    <t>2 Heat Pumps, electricity and maintenance</t>
  </si>
  <si>
    <t>Heat Pump electricity and maintenance</t>
  </si>
  <si>
    <t>Storage Tank maintenance</t>
  </si>
  <si>
    <t>Heat Exchangers electricity and maintenance</t>
  </si>
  <si>
    <t>Heat Exchanger electricity and maintenance</t>
  </si>
  <si>
    <t>PROJECT CASHFLOW: 30°C scenario</t>
  </si>
  <si>
    <t>Undiscounted and without inflation</t>
  </si>
  <si>
    <t>Current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</si>
  <si>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</si>
  <si>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</si>
  <si>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</si>
  <si>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</si>
  <si>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</si>
  <si>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</si>
  <si>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</si>
  <si>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</si>
  <si>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</si>
  <si>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</si>
  <si>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OPEX</t>
  </si>
  <si>
    <t>Heat Pumps maintenance</t>
  </si>
  <si>
    <t>Heat Exchanger maintenance</t>
  </si>
  <si>
    <t>Electricity for Heat Pumps</t>
  </si>
  <si>
    <t>Cost of carbon displaced (1111 kWh per hour and MW)</t>
  </si>
  <si>
    <t>Avoided carbon tax (Tons CO2/year)</t>
  </si>
  <si>
    <t>Natural Gas displaced, MWh per year</t>
  </si>
  <si>
    <t>Natural Gas displaced, Tons CO2 per year</t>
  </si>
  <si>
    <t>CAPEX</t>
  </si>
  <si>
    <t>Heat Pump(s)</t>
  </si>
  <si>
    <t>Heat Exchangers</t>
  </si>
  <si>
    <t>Subsidy</t>
  </si>
  <si>
    <t>One-off subsidy</t>
  </si>
  <si>
    <t>Carbon subsidy</t>
  </si>
  <si>
    <t>Net Savings</t>
  </si>
  <si>
    <t>Cumulative Impact</t>
  </si>
  <si>
    <t>PAYBACK PERIOD AND OUTLOOK: 30°C scenario</t>
  </si>
  <si>
    <t>Payback period</t>
  </si>
  <si>
    <t>System profit after ten years</t>
  </si>
  <si>
    <t>PROJECT CASHFLOW: 65°C scenario</t>
  </si>
  <si>
    <t>Electricity for Heat Pump</t>
  </si>
  <si>
    <t>PAYBACK PERIOD AND OUTLOOK: 65°C scenario</t>
  </si>
  <si>
    <t>System Flow Diagrams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</si>
</sst>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\ ##0"/>
    <numFmt numFmtId="165" formatCode="0.000"/>
    <numFmt numFmtId="166" formatCode="[$€-2]\ #,##0;[Red]\-[$€-2]\ #,##0"/>
    <numFmt numFmtId="167" formatCode="0.0000000"/>
    <numFmt numFmtId="168" formatCode="0_ ;[Red]\-0\ "/>
    <numFmt numFmtId="169" formatCode="0.0\ &quot;years&quot;"/>
    <numFmt numFmtId="170" formatCode="0.0%"/>
  </numFmts>
  <fonts count="23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26"/>
      <name val="Calibri"/>
      <family val="2"/>
    </font>
    <font>
      <b/>
      <i/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color rgb="FF0070C0"/>
      <name val="Calibri"/>
      <family val="2"/>
    </font>
    <font>
      <i/>
      <sz val="11"/>
      <name val="Calibri"/>
      <family val="2"/>
    </font>
    <font>
      <i/>
      <sz val="18"/>
      <color rgb="FF0070C0"/>
      <name val="Calibri"/>
      <family val="2"/>
    </font>
    <font>
      <sz val="18"/>
      <color rgb="FF0070C0"/>
      <name val="Calibri"/>
      <family val="2"/>
    </font>
    <font>
      <sz val="22"/>
      <name val="Calibri"/>
      <family val="2"/>
    </font>
    <font>
      <sz val="20"/>
      <name val="Calibri"/>
      <family val="2"/>
    </font>
    <font>
      <i/>
      <sz val="20"/>
      <name val="Calibri"/>
      <family val="2"/>
    </font>
    <font>
      <b/>
      <sz val="20"/>
      <name val="Calibri"/>
      <family val="2"/>
    </font>
    <font>
      <u/>
      <sz val="11"/>
      <name val="Aptos Narrow"/>
      <family val="2"/>
      <scheme val="minor"/>
    </font>
    <font>
      <b/>
      <sz val="11"/>
      <color rgb="FF0070C0"/>
      <name val="Calibri"/>
      <family val="2"/>
    </font>
    <font>
      <i/>
      <sz val="11"/>
      <color rgb="FF0070C0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i/>
      <sz val="10.5"/>
      <name val="Calibri"/>
      <family val="2"/>
    </font>
    <font>
      <sz val="11"/>
      <color theme="1"/>
      <name val="Calibri"/>
      <family val="2"/>
    </font>
    <font>
      <i/>
      <sz val="11"/>
      <color theme="1"/>
      <name val="Aptos Narrow"/>
      <family val="2"/>
      <scheme val="minor"/>
    </font>
    <font>
      <i/>
      <sz val="26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8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/>
    <xf numFmtId="0" fontId="5" fillId="3" borderId="1" xfId="0" applyFont="1" applyFill="1" applyBorder="1"/>
    <xf numFmtId="0" fontId="4" fillId="3" borderId="2" xfId="0" applyFont="1" applyFill="1" applyBorder="1"/>
    <xf numFmtId="164" fontId="6" fillId="4" borderId="3" xfId="0" applyNumberFormat="1" applyFont="1" applyFill="1" applyBorder="1" applyAlignment="1">
      <alignment vertical="center" wrapText="1"/>
    </xf>
    <xf numFmtId="0" fontId="7" fillId="2" borderId="0" xfId="0" applyFont="1" applyFill="1"/>
    <xf numFmtId="0" fontId="7" fillId="3" borderId="4" xfId="0" applyFont="1" applyFill="1" applyBorder="1"/>
    <xf numFmtId="0" fontId="4" fillId="3" borderId="0" xfId="0" applyFont="1" applyFill="1"/>
    <xf numFmtId="164" fontId="7" fillId="3" borderId="5" xfId="0" applyNumberFormat="1" applyFont="1" applyFill="1" applyBorder="1"/>
    <xf numFmtId="0" fontId="4" fillId="3" borderId="4" xfId="0" applyFont="1" applyFill="1" applyBorder="1"/>
    <xf numFmtId="0" fontId="4" fillId="3" borderId="6" xfId="0" applyFont="1" applyFill="1" applyBorder="1"/>
    <xf numFmtId="0" fontId="7" fillId="3" borderId="2" xfId="0" applyFont="1" applyFill="1" applyBorder="1"/>
    <xf numFmtId="0" fontId="4" fillId="3" borderId="7" xfId="0" applyFont="1" applyFill="1" applyBorder="1"/>
    <xf numFmtId="0" fontId="5" fillId="3" borderId="4" xfId="0" applyFont="1" applyFill="1" applyBorder="1"/>
    <xf numFmtId="0" fontId="7" fillId="3" borderId="0" xfId="0" applyFont="1" applyFill="1"/>
    <xf numFmtId="0" fontId="4" fillId="3" borderId="5" xfId="0" applyFont="1" applyFill="1" applyBorder="1"/>
    <xf numFmtId="0" fontId="5" fillId="3" borderId="8" xfId="0" applyFont="1" applyFill="1" applyBorder="1"/>
    <xf numFmtId="164" fontId="6" fillId="4" borderId="9" xfId="0" applyNumberFormat="1" applyFont="1" applyFill="1" applyBorder="1" applyAlignment="1">
      <alignment vertical="center" wrapText="1"/>
    </xf>
    <xf numFmtId="165" fontId="4" fillId="3" borderId="5" xfId="0" applyNumberFormat="1" applyFont="1" applyFill="1" applyBorder="1"/>
    <xf numFmtId="0" fontId="4" fillId="3" borderId="8" xfId="0" applyFont="1" applyFill="1" applyBorder="1"/>
    <xf numFmtId="0" fontId="7" fillId="3" borderId="10" xfId="0" applyFont="1" applyFill="1" applyBorder="1"/>
    <xf numFmtId="0" fontId="4" fillId="3" borderId="10" xfId="0" applyFont="1" applyFill="1" applyBorder="1"/>
    <xf numFmtId="165" fontId="4" fillId="3" borderId="6" xfId="0" applyNumberFormat="1" applyFont="1" applyFill="1" applyBorder="1"/>
    <xf numFmtId="0" fontId="8" fillId="2" borderId="0" xfId="0" applyFont="1" applyFill="1"/>
    <xf numFmtId="0" fontId="9" fillId="2" borderId="0" xfId="0" applyFont="1" applyFill="1"/>
    <xf numFmtId="0" fontId="10" fillId="2" borderId="0" xfId="0" applyFont="1" applyFill="1"/>
    <xf numFmtId="0" fontId="11" fillId="2" borderId="0" xfId="0" applyFont="1" applyFill="1"/>
    <xf numFmtId="0" fontId="12" fillId="2" borderId="0" xfId="0" applyFont="1" applyFill="1"/>
    <xf numFmtId="0" fontId="13" fillId="3" borderId="1" xfId="0" applyFont="1" applyFill="1" applyBorder="1"/>
    <xf numFmtId="0" fontId="11" fillId="3" borderId="2" xfId="0" applyFont="1" applyFill="1" applyBorder="1"/>
    <xf numFmtId="0" fontId="11" fillId="3" borderId="7" xfId="0" applyFont="1" applyFill="1" applyBorder="1"/>
    <xf numFmtId="49" fontId="5" fillId="5" borderId="1" xfId="0" applyNumberFormat="1" applyFont="1" applyFill="1" applyBorder="1" applyAlignment="1">
      <alignment horizontal="center" vertical="center" wrapText="1"/>
    </xf>
    <xf numFmtId="0" fontId="4" fillId="5" borderId="2" xfId="0" applyFont="1" applyFill="1" applyBorder="1"/>
    <xf numFmtId="49" fontId="5" fillId="5" borderId="2" xfId="0" applyNumberFormat="1" applyFont="1" applyFill="1" applyBorder="1" applyAlignment="1">
      <alignment horizontal="center" vertical="center" wrapText="1"/>
    </xf>
    <xf numFmtId="49" fontId="5" fillId="5" borderId="7" xfId="0" applyNumberFormat="1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vertical="center" wrapText="1"/>
    </xf>
    <xf numFmtId="0" fontId="5" fillId="2" borderId="0" xfId="0" applyFont="1" applyFill="1" applyAlignment="1">
      <alignment vertical="center" wrapText="1"/>
    </xf>
    <xf numFmtId="166" fontId="4" fillId="2" borderId="5" xfId="0" applyNumberFormat="1" applyFont="1" applyFill="1" applyBorder="1" applyAlignment="1">
      <alignment vertical="center" wrapText="1"/>
    </xf>
    <xf numFmtId="0" fontId="14" fillId="2" borderId="0" xfId="1" applyFont="1" applyFill="1"/>
    <xf numFmtId="165" fontId="4" fillId="3" borderId="0" xfId="0" applyNumberFormat="1" applyFont="1" applyFill="1"/>
    <xf numFmtId="164" fontId="6" fillId="2" borderId="0" xfId="0" applyNumberFormat="1" applyFont="1" applyFill="1" applyAlignment="1">
      <alignment vertical="center" wrapText="1"/>
    </xf>
    <xf numFmtId="167" fontId="4" fillId="3" borderId="0" xfId="0" applyNumberFormat="1" applyFont="1" applyFill="1"/>
    <xf numFmtId="0" fontId="4" fillId="2" borderId="10" xfId="0" applyFont="1" applyFill="1" applyBorder="1" applyAlignment="1">
      <alignment vertical="center" wrapText="1"/>
    </xf>
    <xf numFmtId="166" fontId="5" fillId="2" borderId="6" xfId="0" applyNumberFormat="1" applyFont="1" applyFill="1" applyBorder="1" applyAlignment="1">
      <alignment vertical="center" wrapText="1"/>
    </xf>
    <xf numFmtId="0" fontId="4" fillId="2" borderId="0" xfId="0" applyFont="1" applyFill="1" applyAlignment="1">
      <alignment vertical="center" wrapText="1"/>
    </xf>
    <xf numFmtId="166" fontId="5" fillId="2" borderId="0" xfId="0" applyNumberFormat="1" applyFont="1" applyFill="1" applyAlignment="1">
      <alignment vertical="center" wrapText="1"/>
    </xf>
    <xf numFmtId="165" fontId="4" fillId="3" borderId="10" xfId="0" applyNumberFormat="1" applyFont="1" applyFill="1" applyBorder="1"/>
    <xf numFmtId="49" fontId="4" fillId="5" borderId="2" xfId="0" applyNumberFormat="1" applyFont="1" applyFill="1" applyBorder="1" applyAlignment="1">
      <alignment wrapText="1"/>
    </xf>
    <xf numFmtId="49" fontId="4" fillId="2" borderId="0" xfId="0" applyNumberFormat="1" applyFont="1" applyFill="1" applyAlignment="1">
      <alignment wrapText="1"/>
    </xf>
    <xf numFmtId="49" fontId="7" fillId="2" borderId="0" xfId="0" applyNumberFormat="1" applyFont="1" applyFill="1" applyAlignment="1">
      <alignment wrapText="1"/>
    </xf>
    <xf numFmtId="0" fontId="4" fillId="2" borderId="0" xfId="0" applyFont="1" applyFill="1" applyAlignment="1">
      <alignment horizontal="right" vertical="center" wrapText="1"/>
    </xf>
    <xf numFmtId="9" fontId="4" fillId="2" borderId="0" xfId="0" applyNumberFormat="1" applyFont="1" applyFill="1" applyAlignment="1">
      <alignment vertical="center" wrapText="1"/>
    </xf>
    <xf numFmtId="0" fontId="7" fillId="2" borderId="0" xfId="0" applyFont="1" applyFill="1" applyAlignment="1">
      <alignment horizontal="left" vertical="center" wrapText="1"/>
    </xf>
    <xf numFmtId="9" fontId="7" fillId="2" borderId="0" xfId="0" applyNumberFormat="1" applyFont="1" applyFill="1" applyAlignment="1">
      <alignment horizontal="right" vertical="center" wrapText="1"/>
    </xf>
    <xf numFmtId="168" fontId="6" fillId="2" borderId="0" xfId="0" applyNumberFormat="1" applyFont="1" applyFill="1" applyAlignment="1">
      <alignment vertical="center" wrapText="1"/>
    </xf>
    <xf numFmtId="0" fontId="5" fillId="2" borderId="4" xfId="0" applyFont="1" applyFill="1" applyBorder="1"/>
    <xf numFmtId="0" fontId="5" fillId="2" borderId="0" xfId="0" applyFont="1" applyFill="1"/>
    <xf numFmtId="0" fontId="4" fillId="5" borderId="1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/>
    </xf>
    <xf numFmtId="0" fontId="4" fillId="5" borderId="7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166" fontId="5" fillId="3" borderId="0" xfId="0" applyNumberFormat="1" applyFont="1" applyFill="1"/>
    <xf numFmtId="166" fontId="5" fillId="3" borderId="5" xfId="0" applyNumberFormat="1" applyFont="1" applyFill="1" applyBorder="1"/>
    <xf numFmtId="0" fontId="7" fillId="2" borderId="4" xfId="0" applyFont="1" applyFill="1" applyBorder="1"/>
    <xf numFmtId="166" fontId="7" fillId="2" borderId="0" xfId="0" applyNumberFormat="1" applyFont="1" applyFill="1"/>
    <xf numFmtId="166" fontId="7" fillId="2" borderId="5" xfId="0" applyNumberFormat="1" applyFont="1" applyFill="1" applyBorder="1"/>
    <xf numFmtId="0" fontId="16" fillId="2" borderId="4" xfId="0" applyFont="1" applyFill="1" applyBorder="1"/>
    <xf numFmtId="0" fontId="6" fillId="2" borderId="0" xfId="0" applyFont="1" applyFill="1"/>
    <xf numFmtId="3" fontId="16" fillId="2" borderId="0" xfId="0" applyNumberFormat="1" applyFont="1" applyFill="1"/>
    <xf numFmtId="3" fontId="16" fillId="2" borderId="5" xfId="0" applyNumberFormat="1" applyFont="1" applyFill="1" applyBorder="1"/>
    <xf numFmtId="166" fontId="4" fillId="2" borderId="0" xfId="0" applyNumberFormat="1" applyFont="1" applyFill="1"/>
    <xf numFmtId="166" fontId="4" fillId="2" borderId="5" xfId="0" applyNumberFormat="1" applyFont="1" applyFill="1" applyBorder="1"/>
    <xf numFmtId="0" fontId="5" fillId="3" borderId="0" xfId="0" applyFont="1" applyFill="1"/>
    <xf numFmtId="166" fontId="4" fillId="3" borderId="0" xfId="0" applyNumberFormat="1" applyFont="1" applyFill="1"/>
    <xf numFmtId="166" fontId="4" fillId="3" borderId="5" xfId="0" applyNumberFormat="1" applyFont="1" applyFill="1" applyBorder="1"/>
    <xf numFmtId="166" fontId="4" fillId="3" borderId="10" xfId="0" applyNumberFormat="1" applyFont="1" applyFill="1" applyBorder="1"/>
    <xf numFmtId="166" fontId="4" fillId="3" borderId="6" xfId="0" applyNumberFormat="1" applyFont="1" applyFill="1" applyBorder="1"/>
    <xf numFmtId="169" fontId="5" fillId="3" borderId="7" xfId="0" applyNumberFormat="1" applyFont="1" applyFill="1" applyBorder="1"/>
    <xf numFmtId="166" fontId="5" fillId="3" borderId="6" xfId="0" applyNumberFormat="1" applyFont="1" applyFill="1" applyBorder="1"/>
    <xf numFmtId="0" fontId="0" fillId="2" borderId="0" xfId="0" applyFill="1"/>
    <xf numFmtId="0" fontId="7" fillId="2" borderId="0" xfId="0" applyFont="1" applyFill="1" applyAlignment="1">
      <alignment horizontal="right"/>
    </xf>
    <xf numFmtId="0" fontId="19" fillId="2" borderId="0" xfId="0" applyFont="1" applyFill="1"/>
    <xf numFmtId="9" fontId="6" fillId="4" borderId="9" xfId="0" applyNumberFormat="1" applyFont="1" applyFill="1" applyBorder="1" applyAlignment="1">
      <alignment vertical="center" wrapText="1"/>
    </xf>
    <xf numFmtId="0" fontId="0" fillId="2" borderId="5" xfId="0" applyFill="1" applyBorder="1"/>
    <xf numFmtId="0" fontId="0" fillId="2" borderId="4" xfId="0" applyFill="1" applyBorder="1"/>
    <xf numFmtId="0" fontId="20" fillId="2" borderId="0" xfId="0" applyFont="1" applyFill="1"/>
    <xf numFmtId="49" fontId="5" fillId="5" borderId="1" xfId="0" applyNumberFormat="1" applyFont="1" applyFill="1" applyBorder="1" applyAlignment="1">
      <alignment horizontal="left" vertical="center" wrapText="1"/>
    </xf>
    <xf numFmtId="49" fontId="5" fillId="5" borderId="2" xfId="0" applyNumberFormat="1" applyFont="1" applyFill="1" applyBorder="1" applyAlignment="1">
      <alignment horizontal="left" vertical="center" wrapText="1"/>
    </xf>
    <xf numFmtId="49" fontId="5" fillId="5" borderId="7" xfId="0" applyNumberFormat="1" applyFont="1" applyFill="1" applyBorder="1" applyAlignment="1">
      <alignment horizontal="left" vertical="center" wrapText="1"/>
    </xf>
    <xf numFmtId="0" fontId="0" fillId="2" borderId="0" xfId="0" applyFill="1" applyAlignment="1">
      <alignment vertical="top"/>
    </xf>
    <xf numFmtId="0" fontId="20" fillId="2" borderId="3" xfId="0" applyFont="1" applyFill="1" applyBorder="1" applyAlignment="1">
      <alignment horizontal="left" vertical="top"/>
    </xf>
    <xf numFmtId="3" fontId="20" fillId="2" borderId="3" xfId="0" applyNumberFormat="1" applyFont="1" applyFill="1" applyBorder="1" applyAlignment="1">
      <alignment horizontal="right" vertical="top"/>
    </xf>
    <xf numFmtId="0" fontId="20" fillId="2" borderId="3" xfId="0" applyFont="1" applyFill="1" applyBorder="1" applyAlignment="1">
      <alignment horizontal="right" vertical="top"/>
    </xf>
    <xf numFmtId="0" fontId="20" fillId="3" borderId="3" xfId="0" applyFont="1" applyFill="1" applyBorder="1" applyAlignment="1">
      <alignment horizontal="right" vertical="top"/>
    </xf>
    <xf numFmtId="9" fontId="20" fillId="2" borderId="3" xfId="0" applyNumberFormat="1" applyFont="1" applyFill="1" applyBorder="1" applyAlignment="1">
      <alignment horizontal="right" vertical="top"/>
    </xf>
    <xf numFmtId="164" fontId="7" fillId="2" borderId="0" xfId="0" applyNumberFormat="1" applyFont="1" applyFill="1"/>
    <xf numFmtId="9" fontId="6" fillId="2" borderId="0" xfId="0" applyNumberFormat="1" applyFont="1" applyFill="1" applyAlignment="1">
      <alignment vertical="center" wrapText="1"/>
    </xf>
    <xf numFmtId="169" fontId="5" fillId="3" borderId="9" xfId="0" applyNumberFormat="1" applyFont="1" applyFill="1" applyBorder="1"/>
    <xf numFmtId="0" fontId="4" fillId="3" borderId="11" xfId="0" applyFont="1" applyFill="1" applyBorder="1"/>
    <xf numFmtId="0" fontId="4" fillId="3" borderId="12" xfId="0" applyFont="1" applyFill="1" applyBorder="1"/>
    <xf numFmtId="49" fontId="20" fillId="3" borderId="3" xfId="0" applyNumberFormat="1" applyFont="1" applyFill="1" applyBorder="1" applyAlignment="1">
      <alignment horizontal="left" vertical="top"/>
    </xf>
    <xf numFmtId="49" fontId="20" fillId="3" borderId="3" xfId="0" applyNumberFormat="1" applyFont="1" applyFill="1" applyBorder="1" applyAlignment="1">
      <alignment horizontal="left" vertical="top" wrapText="1"/>
    </xf>
    <xf numFmtId="0" fontId="21" fillId="2" borderId="0" xfId="0" applyFont="1" applyFill="1"/>
    <xf numFmtId="170" fontId="20" fillId="2" borderId="3" xfId="0" applyNumberFormat="1" applyFont="1" applyFill="1" applyBorder="1" applyAlignment="1">
      <alignment horizontal="right" vertical="top"/>
    </xf>
    <xf numFmtId="0" fontId="22" fillId="2" borderId="0" xfId="0" applyFont="1" applyFill="1"/>
    <xf numFmtId="0" fontId="5" fillId="2" borderId="4" xfId="0" applyFont="1" applyFill="1" applyBorder="1" applyAlignment="1">
      <alignment vertical="center" wrapText="1"/>
    </xf>
    <xf numFmtId="0" fontId="5" fillId="2" borderId="0" xfId="0" applyFont="1" applyFill="1" applyAlignment="1">
      <alignment vertical="center" wrapText="1"/>
    </xf>
    <xf numFmtId="0" fontId="15" fillId="2" borderId="4" xfId="0" applyFont="1" applyFill="1" applyBorder="1" applyAlignment="1">
      <alignment vertical="center" wrapText="1"/>
    </xf>
    <xf numFmtId="0" fontId="15" fillId="2" borderId="0" xfId="0" applyFont="1" applyFill="1" applyAlignment="1">
      <alignment vertical="center" wrapText="1"/>
    </xf>
    <xf numFmtId="0" fontId="5" fillId="2" borderId="8" xfId="0" applyFont="1" applyFill="1" applyBorder="1" applyAlignment="1">
      <alignment vertical="center" wrapText="1"/>
    </xf>
    <xf numFmtId="0" fontId="5" fillId="2" borderId="10" xfId="0" applyFont="1" applyFill="1" applyBorder="1" applyAlignment="1">
      <alignment vertical="center" wrapText="1"/>
    </xf>
    <xf numFmtId="0" fontId="4" fillId="4" borderId="11" xfId="0" applyFont="1" applyFill="1" applyBorder="1" applyAlignment="1"/>
    <xf numFmtId="0" fontId="4" fillId="4" borderId="12" xfId="0" applyFont="1" applyFill="1" applyBorder="1" applyAlignment="1"/>
    <xf numFmtId="0" fontId="4" fillId="4" borderId="9" xfId="0" applyFont="1" applyFill="1" applyBorder="1" applyAlignment="1"/>
    <xf numFmtId="0" fontId="5" fillId="2" borderId="4" xfId="0" applyFont="1" applyFill="1" applyBorder="1" applyAlignment="1"/>
    <xf numFmtId="0" fontId="5" fillId="2" borderId="0" xfId="0" applyFont="1" applyFill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6</xdr:row>
      <xdr:rowOff>75146</xdr:rowOff>
    </xdr:from>
    <xdr:to>
      <xdr:col>11</xdr:col>
      <xdr:colOff>54430</xdr:colOff>
      <xdr:row>27</xdr:row>
      <xdr:rowOff>119742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BD42BD1D-CAB2-0ABB-92D6-4F0742B29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185489"/>
          <a:ext cx="7239000" cy="393079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</xdr:row>
      <xdr:rowOff>135690</xdr:rowOff>
    </xdr:from>
    <xdr:to>
      <xdr:col>11</xdr:col>
      <xdr:colOff>223158</xdr:colOff>
      <xdr:row>50</xdr:row>
      <xdr:rowOff>125181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F35C04DF-FD37-E734-64F4-D04E9EC351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872461"/>
          <a:ext cx="7407729" cy="3505577"/>
        </a:xfrm>
        <a:prstGeom prst="rect">
          <a:avLst/>
        </a:prstGeom>
      </xdr:spPr>
    </xdr:pic>
    <xdr:clientData/>
  </xdr:twoCellAnchor>
  <xdr:twoCellAnchor editAs="oneCell">
    <xdr:from>
      <xdr:col>0</xdr:col>
      <xdr:colOff>5443</xdr:colOff>
      <xdr:row>55</xdr:row>
      <xdr:rowOff>50898</xdr:rowOff>
    </xdr:from>
    <xdr:to>
      <xdr:col>10</xdr:col>
      <xdr:colOff>616403</xdr:colOff>
      <xdr:row>74</xdr:row>
      <xdr:rowOff>54426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02A94EDC-0D45-7F8E-7DD3-5A6B17107E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3" y="10229041"/>
          <a:ext cx="7151914" cy="35196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www.isoplus.group/products/product-portfolio/details/product/isoflex-single-pipe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0AC9B-014B-4A44-B879-FDE3F0A39D04}">
  <dimension ref="A1:X31"/>
  <sheetViews>
    <sheetView workbookViewId="0">
      <selection activeCell="C6" sqref="C6"/>
    </sheetView>
  </sheetViews>
  <sheetFormatPr defaultColWidth="9.28515625" defaultRowHeight="47.65" customHeight="1"/>
  <cols>
    <col min="1" max="1" width="26.28515625" style="81" customWidth="1"/>
    <col min="2" max="2" width="17.42578125" style="81" customWidth="1"/>
    <col min="3" max="3" width="13" style="81" customWidth="1"/>
    <col min="4" max="4" width="12.5703125" style="81" customWidth="1"/>
    <col min="5" max="5" width="25" style="81" customWidth="1"/>
    <col min="6" max="6" width="13" style="81" customWidth="1"/>
    <col min="7" max="7" width="22.5703125" style="81" customWidth="1"/>
    <col min="8" max="8" width="11.42578125" style="81" customWidth="1"/>
    <col min="9" max="9" width="28.28515625" style="81" customWidth="1"/>
    <col min="10" max="10" width="17.28515625" style="81" customWidth="1"/>
    <col min="11" max="11" width="29" style="81" customWidth="1"/>
    <col min="12" max="12" width="17.140625" style="81" customWidth="1"/>
    <col min="13" max="13" width="24.42578125" style="81" customWidth="1"/>
    <col min="14" max="14" width="10.5703125" style="81" customWidth="1"/>
    <col min="15" max="15" width="9.7109375" style="81" customWidth="1"/>
    <col min="16" max="16" width="17.28515625" style="81" customWidth="1"/>
    <col min="17" max="17" width="35.85546875" style="81" customWidth="1"/>
    <col min="18" max="16384" width="9.28515625" style="81"/>
  </cols>
  <sheetData>
    <row r="1" spans="1:16" ht="14.65"/>
    <row r="2" spans="1:16" ht="33.4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14.6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6" ht="14.65">
      <c r="A4" s="3" t="s">
        <v>1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spans="1:16" ht="14.65">
      <c r="A5" s="3" t="s">
        <v>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ht="14.65">
      <c r="A6" s="81" t="s">
        <v>3</v>
      </c>
    </row>
    <row r="7" spans="1:16" ht="14.65"/>
    <row r="8" spans="1:16" ht="14.65">
      <c r="A8" s="81" t="s">
        <v>4</v>
      </c>
    </row>
    <row r="9" spans="1:16" ht="14.65">
      <c r="A9" s="81" t="s">
        <v>5</v>
      </c>
    </row>
    <row r="10" spans="1:16" ht="14.65">
      <c r="A10" s="81" t="s">
        <v>6</v>
      </c>
    </row>
    <row r="11" spans="1:16" ht="14.65"/>
    <row r="12" spans="1:16" ht="14.65">
      <c r="A12" s="81" t="s">
        <v>7</v>
      </c>
    </row>
    <row r="13" spans="1:16" ht="14.65">
      <c r="A13" s="81" t="s">
        <v>8</v>
      </c>
    </row>
    <row r="14" spans="1:16" ht="14.65"/>
    <row r="15" spans="1:16" ht="14.65">
      <c r="A15" s="81" t="s">
        <v>9</v>
      </c>
    </row>
    <row r="16" spans="1:16" ht="14.65"/>
    <row r="17" spans="1:24" ht="14.65">
      <c r="A17" s="104" t="s">
        <v>10</v>
      </c>
    </row>
    <row r="18" spans="1:24" ht="14.65">
      <c r="A18" s="104" t="s">
        <v>11</v>
      </c>
    </row>
    <row r="19" spans="1:24" ht="14.65">
      <c r="A19" s="104"/>
    </row>
    <row r="20" spans="1:24" ht="14.65">
      <c r="A20" s="104" t="s">
        <v>12</v>
      </c>
    </row>
    <row r="21" spans="1:24" ht="14.65">
      <c r="A21" s="86"/>
      <c r="X21" s="85"/>
    </row>
    <row r="22" spans="1:24" ht="14.65"/>
    <row r="23" spans="1:24" ht="47.65" customHeight="1">
      <c r="A23" s="88" t="s">
        <v>13</v>
      </c>
      <c r="B23" s="89" t="s">
        <v>14</v>
      </c>
      <c r="C23" s="89" t="s">
        <v>15</v>
      </c>
      <c r="D23" s="89" t="s">
        <v>16</v>
      </c>
      <c r="E23" s="89"/>
      <c r="F23" s="89" t="s">
        <v>17</v>
      </c>
      <c r="G23" s="89"/>
      <c r="H23" s="89" t="s">
        <v>18</v>
      </c>
      <c r="I23" s="89" t="s">
        <v>19</v>
      </c>
      <c r="J23" s="89" t="s">
        <v>20</v>
      </c>
      <c r="K23" s="89" t="s">
        <v>21</v>
      </c>
      <c r="L23" s="89" t="s">
        <v>22</v>
      </c>
      <c r="M23" s="89" t="s">
        <v>23</v>
      </c>
      <c r="N23" s="89" t="s">
        <v>24</v>
      </c>
      <c r="O23" s="89" t="s">
        <v>25</v>
      </c>
      <c r="P23" s="90" t="s">
        <v>26</v>
      </c>
      <c r="Q23" s="89" t="s">
        <v>27</v>
      </c>
    </row>
    <row r="24" spans="1:24" s="91" customFormat="1" ht="47.65" customHeight="1">
      <c r="A24" s="92" t="s">
        <v>28</v>
      </c>
      <c r="B24" s="92" t="s">
        <v>29</v>
      </c>
      <c r="C24" s="93">
        <v>1000</v>
      </c>
      <c r="D24" s="93">
        <v>117</v>
      </c>
      <c r="E24" s="103" t="s">
        <v>30</v>
      </c>
      <c r="F24" s="93">
        <v>32</v>
      </c>
      <c r="G24" s="103" t="s">
        <v>31</v>
      </c>
      <c r="H24" s="93">
        <v>57</v>
      </c>
      <c r="I24" s="103" t="s">
        <v>32</v>
      </c>
      <c r="J24" s="96">
        <v>0.3</v>
      </c>
      <c r="K24" s="103" t="s">
        <v>33</v>
      </c>
      <c r="L24" s="93"/>
      <c r="M24" s="103" t="s">
        <v>34</v>
      </c>
      <c r="N24" s="95">
        <v>30</v>
      </c>
      <c r="O24" s="95">
        <v>80</v>
      </c>
      <c r="P24" s="95" t="s">
        <v>35</v>
      </c>
      <c r="Q24" s="102" t="s">
        <v>36</v>
      </c>
    </row>
    <row r="25" spans="1:24" s="91" customFormat="1" ht="47.65" customHeight="1">
      <c r="A25" s="92" t="s">
        <v>37</v>
      </c>
      <c r="B25" s="92" t="s">
        <v>38</v>
      </c>
      <c r="C25" s="93">
        <v>1560</v>
      </c>
      <c r="D25" s="93">
        <v>160</v>
      </c>
      <c r="E25" s="103" t="s">
        <v>39</v>
      </c>
      <c r="F25" s="93">
        <v>80</v>
      </c>
      <c r="G25" s="103" t="s">
        <v>39</v>
      </c>
      <c r="H25" s="93">
        <v>73</v>
      </c>
      <c r="I25" s="103" t="s">
        <v>40</v>
      </c>
      <c r="J25" s="96">
        <v>0.02</v>
      </c>
      <c r="K25" s="103" t="s">
        <v>41</v>
      </c>
      <c r="L25" s="93">
        <v>0</v>
      </c>
      <c r="M25" s="103" t="s">
        <v>42</v>
      </c>
      <c r="N25" s="95">
        <v>30</v>
      </c>
      <c r="O25" s="95">
        <v>80</v>
      </c>
      <c r="P25" s="95" t="s">
        <v>35</v>
      </c>
      <c r="Q25" s="103" t="s">
        <v>36</v>
      </c>
    </row>
    <row r="26" spans="1:24" s="91" customFormat="1" ht="47.65" customHeight="1">
      <c r="A26" s="92" t="s">
        <v>43</v>
      </c>
      <c r="B26" s="92" t="s">
        <v>44</v>
      </c>
      <c r="C26" s="93">
        <v>15000</v>
      </c>
      <c r="D26" s="93">
        <v>122</v>
      </c>
      <c r="E26" s="103" t="s">
        <v>39</v>
      </c>
      <c r="F26" s="93">
        <v>81</v>
      </c>
      <c r="G26" s="103" t="s">
        <v>39</v>
      </c>
      <c r="H26" s="93">
        <v>0</v>
      </c>
      <c r="I26" s="103" t="s">
        <v>45</v>
      </c>
      <c r="J26" s="105">
        <v>3.0000000000000001E-3</v>
      </c>
      <c r="K26" s="103" t="s">
        <v>46</v>
      </c>
      <c r="L26" s="93">
        <v>0</v>
      </c>
      <c r="M26" s="103" t="s">
        <v>42</v>
      </c>
      <c r="N26" s="95" t="s">
        <v>47</v>
      </c>
      <c r="O26" s="95">
        <v>55</v>
      </c>
      <c r="P26" s="95" t="s">
        <v>35</v>
      </c>
      <c r="Q26" s="103" t="s">
        <v>36</v>
      </c>
    </row>
    <row r="27" spans="1:24" s="91" customFormat="1" ht="47.65" customHeight="1">
      <c r="A27" s="92" t="s">
        <v>48</v>
      </c>
      <c r="B27" s="92" t="s">
        <v>49</v>
      </c>
      <c r="C27" s="94">
        <v>1000</v>
      </c>
      <c r="D27" s="94">
        <v>152</v>
      </c>
      <c r="E27" s="103" t="s">
        <v>39</v>
      </c>
      <c r="F27" s="94">
        <v>32</v>
      </c>
      <c r="G27" s="103" t="s">
        <v>39</v>
      </c>
      <c r="H27" s="93">
        <v>74</v>
      </c>
      <c r="I27" s="103" t="s">
        <v>50</v>
      </c>
      <c r="J27" s="96">
        <v>0.3</v>
      </c>
      <c r="K27" s="103" t="s">
        <v>51</v>
      </c>
      <c r="L27" s="93">
        <v>0</v>
      </c>
      <c r="M27" s="103" t="s">
        <v>42</v>
      </c>
      <c r="N27" s="95">
        <v>55</v>
      </c>
      <c r="O27" s="95">
        <v>55</v>
      </c>
      <c r="P27" s="95" t="s">
        <v>35</v>
      </c>
      <c r="Q27" s="103" t="s">
        <v>52</v>
      </c>
    </row>
    <row r="28" spans="1:24" s="91" customFormat="1" ht="47.65" customHeight="1">
      <c r="A28" s="92" t="s">
        <v>53</v>
      </c>
      <c r="B28" s="92" t="s">
        <v>54</v>
      </c>
      <c r="C28" s="93">
        <v>3000</v>
      </c>
      <c r="D28" s="93">
        <v>98</v>
      </c>
      <c r="E28" s="103" t="s">
        <v>39</v>
      </c>
      <c r="F28" s="93">
        <v>33</v>
      </c>
      <c r="G28" s="103" t="s">
        <v>39</v>
      </c>
      <c r="H28" s="93">
        <v>73</v>
      </c>
      <c r="I28" s="103" t="s">
        <v>40</v>
      </c>
      <c r="J28" s="96">
        <v>0.5</v>
      </c>
      <c r="K28" s="103" t="s">
        <v>55</v>
      </c>
      <c r="L28" s="93">
        <v>0</v>
      </c>
      <c r="M28" s="103" t="s">
        <v>42</v>
      </c>
      <c r="N28" s="95">
        <v>30</v>
      </c>
      <c r="O28" s="95">
        <v>80</v>
      </c>
      <c r="P28" s="95" t="s">
        <v>35</v>
      </c>
      <c r="Q28" s="103" t="s">
        <v>56</v>
      </c>
    </row>
    <row r="29" spans="1:24" s="91" customFormat="1" ht="47.65" customHeight="1">
      <c r="A29" s="92" t="s">
        <v>57</v>
      </c>
      <c r="B29" s="92" t="s">
        <v>58</v>
      </c>
      <c r="C29" s="93">
        <v>30000</v>
      </c>
      <c r="D29" s="93">
        <v>52</v>
      </c>
      <c r="E29" s="103" t="s">
        <v>59</v>
      </c>
      <c r="F29" s="93">
        <v>113</v>
      </c>
      <c r="G29" s="103" t="s">
        <v>39</v>
      </c>
      <c r="H29" s="93">
        <v>73</v>
      </c>
      <c r="I29" s="103" t="s">
        <v>60</v>
      </c>
      <c r="J29" s="96">
        <v>0.25</v>
      </c>
      <c r="K29" s="103" t="s">
        <v>61</v>
      </c>
      <c r="L29" s="93">
        <v>0</v>
      </c>
      <c r="M29" s="103" t="s">
        <v>42</v>
      </c>
      <c r="N29" s="95">
        <v>30</v>
      </c>
      <c r="O29" s="95">
        <v>75</v>
      </c>
      <c r="P29" s="95" t="s">
        <v>35</v>
      </c>
      <c r="Q29" s="103" t="s">
        <v>62</v>
      </c>
    </row>
    <row r="31" spans="1:24" ht="47.65" customHeight="1">
      <c r="A31" s="87"/>
      <c r="B31" s="87"/>
      <c r="C31" s="87"/>
      <c r="D31" s="87"/>
      <c r="E31" s="87"/>
      <c r="F31" s="87"/>
      <c r="G31" s="87"/>
      <c r="H31" s="87"/>
      <c r="I31" s="87"/>
      <c r="J31" s="87"/>
      <c r="K31" s="87"/>
      <c r="L31" s="87"/>
      <c r="M31" s="87"/>
      <c r="N31" s="87"/>
      <c r="O31" s="87"/>
      <c r="P31" s="8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56E0D-8417-4237-A26C-60E8BDA93971}">
  <dimension ref="A1:Z175"/>
  <sheetViews>
    <sheetView tabSelected="1" topLeftCell="A4" workbookViewId="0">
      <selection activeCell="J2" sqref="J2"/>
    </sheetView>
  </sheetViews>
  <sheetFormatPr defaultColWidth="9.28515625" defaultRowHeight="14.65"/>
  <cols>
    <col min="1" max="9" width="15.7109375" style="3" customWidth="1"/>
    <col min="10" max="10" width="15.7109375" style="7" customWidth="1"/>
    <col min="11" max="25" width="15.7109375" style="3" customWidth="1"/>
    <col min="26" max="16384" width="9.28515625" style="3"/>
  </cols>
  <sheetData>
    <row r="1" spans="1:25">
      <c r="F1" s="113" t="s">
        <v>28</v>
      </c>
      <c r="G1" s="114"/>
      <c r="H1" s="115"/>
      <c r="I1" s="7"/>
    </row>
    <row r="2" spans="1:25">
      <c r="F2" s="100" t="s">
        <v>63</v>
      </c>
      <c r="G2" s="101"/>
      <c r="H2" s="99">
        <f>C139</f>
        <v>32.066904657257766</v>
      </c>
      <c r="I2" s="7" t="str">
        <f>_xlfn.XLOOKUP(F1, Introduction!A:A, Introduction!Q:Q, 0)</f>
        <v xml:space="preserve">  </v>
      </c>
    </row>
    <row r="3" spans="1:25" s="1" customFormat="1" ht="33.4">
      <c r="A3" s="1" t="s">
        <v>64</v>
      </c>
      <c r="I3" s="106"/>
      <c r="J3" s="42"/>
    </row>
    <row r="4" spans="1:25">
      <c r="A4" s="2" t="s">
        <v>65</v>
      </c>
      <c r="F4" s="4" t="s">
        <v>66</v>
      </c>
      <c r="G4" s="14"/>
      <c r="H4" s="19">
        <v>1000</v>
      </c>
      <c r="I4" s="7"/>
      <c r="J4" s="97"/>
      <c r="T4" s="7" t="s">
        <v>67</v>
      </c>
    </row>
    <row r="5" spans="1:25">
      <c r="A5" s="7" t="s">
        <v>68</v>
      </c>
      <c r="F5" s="8" t="s">
        <v>69</v>
      </c>
      <c r="G5" s="9"/>
      <c r="H5" s="10">
        <f>SUM(H4*3.281)</f>
        <v>3281</v>
      </c>
      <c r="I5" s="7" t="s">
        <v>70</v>
      </c>
      <c r="J5" s="3"/>
    </row>
    <row r="6" spans="1:25">
      <c r="A6" s="3" t="s">
        <v>71</v>
      </c>
      <c r="F6" s="11"/>
      <c r="G6" s="9"/>
      <c r="H6" s="12"/>
      <c r="I6" s="7" t="s">
        <v>72</v>
      </c>
      <c r="J6" s="42"/>
      <c r="T6" s="4" t="s">
        <v>73</v>
      </c>
      <c r="U6" s="13"/>
      <c r="V6" s="5"/>
      <c r="W6" s="14"/>
    </row>
    <row r="7" spans="1:25">
      <c r="F7" s="15" t="s">
        <v>74</v>
      </c>
      <c r="G7" s="17"/>
      <c r="H7" s="19">
        <f>_xlfn.XLOOKUP(F1, Introduction!A:A, Introduction!D:D, 0)</f>
        <v>117</v>
      </c>
      <c r="I7" s="7"/>
      <c r="J7" s="42"/>
      <c r="T7" s="11" t="s">
        <v>75</v>
      </c>
      <c r="U7" s="16"/>
      <c r="V7" s="9"/>
      <c r="W7" s="6">
        <v>30</v>
      </c>
    </row>
    <row r="8" spans="1:25">
      <c r="A8" s="7" t="s">
        <v>76</v>
      </c>
      <c r="F8" s="15" t="s">
        <v>77</v>
      </c>
      <c r="G8" s="17"/>
      <c r="H8" s="19">
        <f>_xlfn.XLOOKUP(F1, Introduction!A:A, Introduction!F:F, 0)</f>
        <v>32</v>
      </c>
      <c r="I8" s="7"/>
      <c r="J8" s="42"/>
      <c r="T8" s="11" t="s">
        <v>78</v>
      </c>
      <c r="U8" s="16"/>
      <c r="V8" s="9"/>
      <c r="W8" s="6">
        <v>6</v>
      </c>
    </row>
    <row r="9" spans="1:25">
      <c r="A9" s="7"/>
      <c r="F9" s="15" t="s">
        <v>79</v>
      </c>
      <c r="G9" s="17"/>
      <c r="H9" s="19">
        <f>_xlfn.XLOOKUP(F1, Introduction!A:A, Introduction!H:H, 0)</f>
        <v>57</v>
      </c>
      <c r="I9" s="7" t="str">
        <f>_xlfn.XLOOKUP(F1, Introduction!A:A, Introduction!I:I, 0)</f>
        <v>In the EU, mainly EU ETS.</v>
      </c>
      <c r="J9" s="98"/>
      <c r="T9" s="11" t="s">
        <v>80</v>
      </c>
      <c r="U9" s="16"/>
      <c r="V9" s="9"/>
      <c r="W9" s="20">
        <f>SUM(U26)</f>
        <v>5.3543178560569865E-2</v>
      </c>
    </row>
    <row r="10" spans="1:25">
      <c r="A10" s="7"/>
      <c r="F10" s="15" t="s">
        <v>81</v>
      </c>
      <c r="G10" s="17"/>
      <c r="H10" s="84">
        <f>_xlfn.XLOOKUP(F1, Introduction!A:A, Introduction!J:J, 0)</f>
        <v>0.3</v>
      </c>
      <c r="I10" s="7" t="str">
        <f>_xlfn.XLOOKUP(F1, Introduction!A:A, Introduction!K:K, 0)</f>
        <v>CAPEX subsidies are often generous, especially for replacing fossil systems w/ heat pumps.</v>
      </c>
      <c r="J10" s="42"/>
      <c r="T10" s="11"/>
      <c r="U10" s="16"/>
      <c r="V10" s="9"/>
      <c r="W10" s="20"/>
    </row>
    <row r="11" spans="1:25">
      <c r="A11" s="7"/>
      <c r="F11" s="18" t="s">
        <v>82</v>
      </c>
      <c r="G11" s="12"/>
      <c r="H11" s="19">
        <f>_xlfn.XLOOKUP(F1, Introduction!A:A, Introduction!L:L, 0)</f>
        <v>0</v>
      </c>
      <c r="I11" s="7" t="str">
        <f>_xlfn.XLOOKUP(F1, Introduction!A:A, Introduction!M:M, 0)</f>
        <v>OPEX support is not formalized.</v>
      </c>
      <c r="J11" s="3"/>
      <c r="T11" s="11"/>
      <c r="U11" s="16"/>
      <c r="V11" s="9"/>
      <c r="W11" s="20"/>
    </row>
    <row r="12" spans="1:25">
      <c r="J12" s="3"/>
      <c r="T12" s="21" t="s">
        <v>83</v>
      </c>
      <c r="U12" s="22"/>
      <c r="V12" s="23"/>
      <c r="W12" s="24">
        <f>SUM(U27)</f>
        <v>29.94645682143943</v>
      </c>
    </row>
    <row r="13" spans="1:25" ht="23.1">
      <c r="A13" s="25" t="s">
        <v>84</v>
      </c>
      <c r="B13" s="26"/>
      <c r="C13" s="26"/>
      <c r="D13" s="26"/>
      <c r="E13" s="26"/>
      <c r="F13" s="25" t="s">
        <v>85</v>
      </c>
    </row>
    <row r="14" spans="1:25">
      <c r="A14" s="7" t="s">
        <v>86</v>
      </c>
      <c r="F14" s="7" t="s">
        <v>87</v>
      </c>
    </row>
    <row r="16" spans="1:25" s="28" customFormat="1" ht="28.35">
      <c r="A16" s="27" t="s">
        <v>88</v>
      </c>
      <c r="F16" s="27" t="s">
        <v>88</v>
      </c>
      <c r="K16" s="29" t="s">
        <v>89</v>
      </c>
      <c r="S16" s="30" t="s">
        <v>90</v>
      </c>
      <c r="T16" s="31"/>
      <c r="U16" s="31"/>
      <c r="V16" s="31"/>
      <c r="W16" s="31"/>
      <c r="X16" s="31"/>
      <c r="Y16" s="32"/>
    </row>
    <row r="17" spans="1:26" ht="29.1">
      <c r="A17" s="33" t="s">
        <v>91</v>
      </c>
      <c r="B17" s="34"/>
      <c r="C17" s="35" t="s">
        <v>92</v>
      </c>
      <c r="D17" s="36" t="s">
        <v>93</v>
      </c>
      <c r="F17" s="33" t="s">
        <v>91</v>
      </c>
      <c r="G17" s="34"/>
      <c r="H17" s="35" t="s">
        <v>92</v>
      </c>
      <c r="I17" s="36" t="s">
        <v>93</v>
      </c>
      <c r="K17" s="7"/>
      <c r="S17" s="11" t="s">
        <v>94</v>
      </c>
      <c r="T17" s="9"/>
      <c r="U17" s="9">
        <f>SUM(W7)</f>
        <v>30</v>
      </c>
      <c r="V17" s="9"/>
      <c r="W17" s="9"/>
      <c r="X17" s="9"/>
      <c r="Y17" s="17"/>
    </row>
    <row r="18" spans="1:26">
      <c r="A18" s="107" t="s">
        <v>95</v>
      </c>
      <c r="B18" s="108"/>
      <c r="C18" s="39">
        <v>45</v>
      </c>
      <c r="D18" s="39">
        <f>SUM(C18)*C24</f>
        <v>45000</v>
      </c>
      <c r="F18" s="107" t="s">
        <v>95</v>
      </c>
      <c r="G18" s="108"/>
      <c r="H18" s="39">
        <v>45</v>
      </c>
      <c r="I18" s="39">
        <f>SUM(H18)*H24</f>
        <v>45000</v>
      </c>
      <c r="K18" s="7" t="s">
        <v>96</v>
      </c>
      <c r="S18" s="11" t="s">
        <v>97</v>
      </c>
      <c r="T18" s="9"/>
      <c r="U18" s="9">
        <f>SUM(W8)</f>
        <v>6</v>
      </c>
      <c r="V18" s="9"/>
      <c r="W18" s="9" t="s">
        <v>98</v>
      </c>
      <c r="X18" s="9"/>
      <c r="Y18" s="17"/>
    </row>
    <row r="19" spans="1:26">
      <c r="A19" s="107" t="s">
        <v>99</v>
      </c>
      <c r="B19" s="108"/>
      <c r="C19" s="39">
        <v>22</v>
      </c>
      <c r="D19" s="39">
        <f>SUM(C19)*C24</f>
        <v>22000</v>
      </c>
      <c r="F19" s="107" t="s">
        <v>99</v>
      </c>
      <c r="G19" s="108"/>
      <c r="H19" s="39">
        <v>22</v>
      </c>
      <c r="I19" s="39">
        <f>SUM(H19)*H24</f>
        <v>22000</v>
      </c>
      <c r="K19" s="7" t="s">
        <v>100</v>
      </c>
      <c r="S19" s="11" t="s">
        <v>101</v>
      </c>
      <c r="T19" s="9"/>
      <c r="U19" s="9">
        <f>SUM(U17-U18)</f>
        <v>24</v>
      </c>
      <c r="V19" s="9"/>
      <c r="W19" s="16" t="s">
        <v>102</v>
      </c>
      <c r="X19" s="9"/>
      <c r="Y19" s="17"/>
    </row>
    <row r="20" spans="1:26">
      <c r="A20" s="107" t="s">
        <v>103</v>
      </c>
      <c r="B20" s="108"/>
      <c r="C20" s="39">
        <v>10</v>
      </c>
      <c r="D20" s="39">
        <f>SUM(C20)*C24</f>
        <v>10000</v>
      </c>
      <c r="F20" s="107" t="s">
        <v>103</v>
      </c>
      <c r="G20" s="108"/>
      <c r="H20" s="39">
        <v>10</v>
      </c>
      <c r="I20" s="39">
        <f>SUM(H20)*H24</f>
        <v>10000</v>
      </c>
      <c r="K20" s="7" t="s">
        <v>104</v>
      </c>
      <c r="S20" s="11" t="s">
        <v>105</v>
      </c>
      <c r="T20" s="9"/>
      <c r="U20" s="9">
        <v>0.5</v>
      </c>
      <c r="V20" s="9"/>
      <c r="W20" s="9" t="s">
        <v>106</v>
      </c>
      <c r="X20" s="9"/>
      <c r="Y20" s="17"/>
      <c r="Z20" s="40" t="s">
        <v>107</v>
      </c>
    </row>
    <row r="21" spans="1:26">
      <c r="A21" s="107" t="s">
        <v>108</v>
      </c>
      <c r="B21" s="108"/>
      <c r="C21" s="39">
        <v>100</v>
      </c>
      <c r="D21" s="39">
        <f>SUM(C21)*C24</f>
        <v>100000</v>
      </c>
      <c r="F21" s="107" t="s">
        <v>109</v>
      </c>
      <c r="G21" s="108"/>
      <c r="H21" s="39">
        <v>100</v>
      </c>
      <c r="I21" s="39">
        <f>SUM(H21)*H24</f>
        <v>100000</v>
      </c>
      <c r="K21" s="7" t="s">
        <v>110</v>
      </c>
      <c r="S21" s="11" t="s">
        <v>111</v>
      </c>
      <c r="T21" s="9"/>
      <c r="U21" s="41">
        <f>SUM(U20*3.1415*0.1308*U19)</f>
        <v>4.9308984000000002</v>
      </c>
      <c r="V21" s="9"/>
      <c r="W21" s="16" t="s">
        <v>112</v>
      </c>
      <c r="X21" s="9"/>
      <c r="Y21" s="17"/>
    </row>
    <row r="22" spans="1:26" ht="13.7" customHeight="1">
      <c r="A22" s="107" t="s">
        <v>113</v>
      </c>
      <c r="B22" s="108"/>
      <c r="C22" s="39">
        <v>50</v>
      </c>
      <c r="D22" s="39">
        <f>SUM(C22)*C24</f>
        <v>50000</v>
      </c>
      <c r="F22" s="107" t="s">
        <v>113</v>
      </c>
      <c r="G22" s="108"/>
      <c r="H22" s="39">
        <v>50</v>
      </c>
      <c r="I22" s="39">
        <f>SUM(H22)*H24</f>
        <v>50000</v>
      </c>
      <c r="K22" s="7"/>
      <c r="S22" s="11"/>
      <c r="T22" s="9"/>
      <c r="U22" s="41"/>
      <c r="V22" s="9"/>
      <c r="W22" s="16"/>
      <c r="X22" s="9"/>
      <c r="Y22" s="17"/>
    </row>
    <row r="23" spans="1:26">
      <c r="A23" s="107" t="s">
        <v>114</v>
      </c>
      <c r="B23" s="108"/>
      <c r="C23" s="108"/>
      <c r="D23" s="39">
        <v>5000</v>
      </c>
      <c r="F23" s="107" t="s">
        <v>115</v>
      </c>
      <c r="G23" s="108"/>
      <c r="H23" s="108"/>
      <c r="I23" s="39">
        <v>5000</v>
      </c>
      <c r="K23" s="7"/>
      <c r="S23" s="11"/>
      <c r="T23" s="9"/>
      <c r="U23" s="41"/>
      <c r="V23" s="9"/>
      <c r="W23" s="16"/>
      <c r="X23" s="9"/>
      <c r="Y23" s="17"/>
    </row>
    <row r="24" spans="1:26">
      <c r="A24" s="109" t="s">
        <v>116</v>
      </c>
      <c r="B24" s="110"/>
      <c r="C24" s="42">
        <f>SUM(H4)</f>
        <v>1000</v>
      </c>
      <c r="D24" s="39"/>
      <c r="F24" s="109" t="s">
        <v>116</v>
      </c>
      <c r="G24" s="110"/>
      <c r="H24" s="42">
        <f>SUM(H4)</f>
        <v>1000</v>
      </c>
      <c r="I24" s="39"/>
      <c r="K24" s="7" t="s">
        <v>117</v>
      </c>
      <c r="S24" s="11" t="s">
        <v>118</v>
      </c>
      <c r="T24" s="9"/>
      <c r="U24" s="43">
        <f>SUM((U21)/(22*4186))</f>
        <v>5.3543178560569866E-5</v>
      </c>
      <c r="V24" s="9"/>
      <c r="W24" s="16" t="s">
        <v>119</v>
      </c>
      <c r="X24" s="9"/>
      <c r="Y24" s="17"/>
    </row>
    <row r="25" spans="1:26" ht="14.65" customHeight="1">
      <c r="A25" s="107" t="s">
        <v>120</v>
      </c>
      <c r="B25" s="108"/>
      <c r="C25" s="42"/>
      <c r="D25" s="39">
        <v>40000</v>
      </c>
      <c r="F25" s="107" t="s">
        <v>120</v>
      </c>
      <c r="G25" s="108"/>
      <c r="H25" s="42"/>
      <c r="I25" s="39">
        <v>40000</v>
      </c>
      <c r="K25" s="7"/>
      <c r="S25" s="11"/>
      <c r="T25" s="9"/>
      <c r="U25" s="43"/>
      <c r="V25" s="9"/>
      <c r="W25" s="16"/>
      <c r="X25" s="9"/>
      <c r="Y25" s="17"/>
    </row>
    <row r="26" spans="1:26">
      <c r="A26" s="111" t="s">
        <v>121</v>
      </c>
      <c r="B26" s="112"/>
      <c r="C26" s="44"/>
      <c r="D26" s="45">
        <f>SUM(D18:D25)</f>
        <v>272000</v>
      </c>
      <c r="F26" s="111" t="s">
        <v>121</v>
      </c>
      <c r="G26" s="112"/>
      <c r="H26" s="44"/>
      <c r="I26" s="45">
        <f>SUM(I18:I25)</f>
        <v>272000</v>
      </c>
      <c r="S26" s="11" t="s">
        <v>122</v>
      </c>
      <c r="T26" s="9"/>
      <c r="U26" s="41">
        <f>SUM(U24*H4)</f>
        <v>5.3543178560569865E-2</v>
      </c>
      <c r="V26" s="9"/>
      <c r="W26" s="16" t="s">
        <v>123</v>
      </c>
      <c r="X26" s="9"/>
      <c r="Y26" s="17"/>
    </row>
    <row r="27" spans="1:26">
      <c r="A27" s="38"/>
      <c r="B27" s="46"/>
      <c r="C27" s="47"/>
      <c r="F27" s="38"/>
      <c r="G27" s="46"/>
      <c r="H27" s="47"/>
      <c r="S27" s="21" t="s">
        <v>83</v>
      </c>
      <c r="T27" s="23"/>
      <c r="U27" s="48">
        <f>SUM(U17-U26)</f>
        <v>29.94645682143943</v>
      </c>
      <c r="V27" s="23"/>
      <c r="W27" s="23"/>
      <c r="X27" s="23"/>
      <c r="Y27" s="12"/>
    </row>
    <row r="28" spans="1:26">
      <c r="A28" s="38"/>
      <c r="B28" s="46"/>
      <c r="C28" s="47"/>
      <c r="F28" s="38"/>
      <c r="G28" s="46"/>
      <c r="H28" s="47"/>
    </row>
    <row r="30" spans="1:26" s="28" customFormat="1" ht="26.1">
      <c r="A30" s="28" t="s">
        <v>124</v>
      </c>
      <c r="F30" s="28" t="s">
        <v>125</v>
      </c>
      <c r="J30" s="29"/>
    </row>
    <row r="31" spans="1:26" s="50" customFormat="1" ht="29.1">
      <c r="A31" s="33" t="s">
        <v>91</v>
      </c>
      <c r="B31" s="49"/>
      <c r="C31" s="35" t="s">
        <v>126</v>
      </c>
      <c r="D31" s="36" t="s">
        <v>93</v>
      </c>
      <c r="F31" s="33" t="s">
        <v>91</v>
      </c>
      <c r="G31" s="49"/>
      <c r="H31" s="35" t="s">
        <v>126</v>
      </c>
      <c r="I31" s="36" t="s">
        <v>93</v>
      </c>
      <c r="K31" s="51"/>
    </row>
    <row r="32" spans="1:26" ht="14.65" customHeight="1">
      <c r="A32" s="107" t="s">
        <v>127</v>
      </c>
      <c r="B32" s="108"/>
      <c r="C32" s="52" t="s">
        <v>128</v>
      </c>
      <c r="D32" s="39">
        <v>2200000</v>
      </c>
      <c r="F32" s="107" t="s">
        <v>129</v>
      </c>
      <c r="G32" s="108"/>
      <c r="H32" s="52" t="s">
        <v>128</v>
      </c>
      <c r="I32" s="39">
        <v>2600000</v>
      </c>
      <c r="K32" s="3" t="s">
        <v>130</v>
      </c>
    </row>
    <row r="33" spans="1:11">
      <c r="A33" s="107" t="s">
        <v>131</v>
      </c>
      <c r="B33" s="108"/>
      <c r="C33" s="53">
        <v>0.2</v>
      </c>
      <c r="D33" s="39">
        <f>SUM(D32*C33)</f>
        <v>440000</v>
      </c>
      <c r="F33" s="107" t="s">
        <v>131</v>
      </c>
      <c r="G33" s="108"/>
      <c r="H33" s="53">
        <v>0.2</v>
      </c>
      <c r="I33" s="39">
        <f>SUM(I32*H33)</f>
        <v>520000</v>
      </c>
      <c r="K33" s="3" t="s">
        <v>132</v>
      </c>
    </row>
    <row r="34" spans="1:11">
      <c r="A34" s="107" t="s">
        <v>133</v>
      </c>
      <c r="B34" s="108"/>
      <c r="C34" s="53">
        <v>0.2</v>
      </c>
      <c r="D34" s="39">
        <f>SUM(D32*C34)</f>
        <v>440000</v>
      </c>
      <c r="F34" s="107" t="s">
        <v>133</v>
      </c>
      <c r="G34" s="108"/>
      <c r="H34" s="53">
        <v>0.2</v>
      </c>
      <c r="I34" s="39">
        <f>SUM(I32*H34)</f>
        <v>520000</v>
      </c>
      <c r="K34" s="3" t="s">
        <v>134</v>
      </c>
    </row>
    <row r="35" spans="1:11">
      <c r="A35" s="107" t="s">
        <v>135</v>
      </c>
      <c r="B35" s="108"/>
      <c r="C35" s="53">
        <v>0.4</v>
      </c>
      <c r="D35" s="39">
        <f>SUM(D32*C35)</f>
        <v>880000</v>
      </c>
      <c r="F35" s="107" t="s">
        <v>135</v>
      </c>
      <c r="G35" s="108"/>
      <c r="H35" s="53">
        <v>0.4</v>
      </c>
      <c r="I35" s="39">
        <f>SUM(I32*H35)</f>
        <v>1040000</v>
      </c>
    </row>
    <row r="36" spans="1:11">
      <c r="A36" s="111" t="s">
        <v>121</v>
      </c>
      <c r="B36" s="112"/>
      <c r="C36" s="44"/>
      <c r="D36" s="45">
        <f>SUM(D32:D35)</f>
        <v>3960000</v>
      </c>
      <c r="F36" s="111" t="s">
        <v>121</v>
      </c>
      <c r="G36" s="112"/>
      <c r="H36" s="44"/>
      <c r="I36" s="45">
        <f>SUM(I32:I35)</f>
        <v>4680000</v>
      </c>
    </row>
    <row r="37" spans="1:11">
      <c r="K37" s="7"/>
    </row>
    <row r="38" spans="1:11">
      <c r="K38" s="7"/>
    </row>
    <row r="39" spans="1:11">
      <c r="K39" s="7"/>
    </row>
    <row r="40" spans="1:11" s="28" customFormat="1" ht="26.1">
      <c r="A40" s="28" t="s">
        <v>136</v>
      </c>
      <c r="F40" s="28" t="s">
        <v>136</v>
      </c>
      <c r="K40" s="29"/>
    </row>
    <row r="41" spans="1:11" ht="29.1">
      <c r="A41" s="33" t="s">
        <v>91</v>
      </c>
      <c r="B41" s="34"/>
      <c r="C41" s="35" t="s">
        <v>137</v>
      </c>
      <c r="D41" s="36" t="s">
        <v>93</v>
      </c>
      <c r="F41" s="33" t="s">
        <v>91</v>
      </c>
      <c r="G41" s="34"/>
      <c r="H41" s="35" t="s">
        <v>138</v>
      </c>
      <c r="I41" s="36" t="s">
        <v>93</v>
      </c>
      <c r="K41" s="7"/>
    </row>
    <row r="42" spans="1:11">
      <c r="A42" s="107" t="s">
        <v>139</v>
      </c>
      <c r="B42" s="108"/>
      <c r="C42" s="54" t="s">
        <v>140</v>
      </c>
      <c r="D42" s="39">
        <v>130000</v>
      </c>
      <c r="F42" s="107" t="s">
        <v>139</v>
      </c>
      <c r="G42" s="108"/>
      <c r="H42" s="54" t="s">
        <v>140</v>
      </c>
      <c r="I42" s="39">
        <v>130000</v>
      </c>
      <c r="K42" s="7" t="s">
        <v>141</v>
      </c>
    </row>
    <row r="43" spans="1:11" ht="14.65" customHeight="1">
      <c r="A43" s="107" t="s">
        <v>142</v>
      </c>
      <c r="B43" s="108"/>
      <c r="C43" s="55" t="s">
        <v>143</v>
      </c>
      <c r="D43" s="39">
        <v>120000</v>
      </c>
      <c r="F43" s="107" t="s">
        <v>142</v>
      </c>
      <c r="G43" s="108"/>
      <c r="H43" s="55" t="s">
        <v>143</v>
      </c>
      <c r="I43" s="39">
        <v>120000</v>
      </c>
    </row>
    <row r="44" spans="1:11">
      <c r="A44" s="111" t="s">
        <v>121</v>
      </c>
      <c r="B44" s="112"/>
      <c r="C44" s="44"/>
      <c r="D44" s="45">
        <f>SUM(D42:D43)</f>
        <v>250000</v>
      </c>
      <c r="F44" s="111" t="s">
        <v>121</v>
      </c>
      <c r="G44" s="112"/>
      <c r="H44" s="44"/>
      <c r="I44" s="45">
        <f>SUM(I42:I43)</f>
        <v>250000</v>
      </c>
    </row>
    <row r="45" spans="1:11">
      <c r="A45" s="38"/>
      <c r="B45" s="46"/>
      <c r="C45" s="47"/>
      <c r="F45" s="38"/>
      <c r="G45" s="46"/>
      <c r="H45" s="47"/>
    </row>
    <row r="46" spans="1:11">
      <c r="A46" s="38"/>
      <c r="B46" s="46"/>
      <c r="C46" s="47"/>
      <c r="F46" s="38"/>
      <c r="G46" s="46"/>
      <c r="H46" s="47"/>
    </row>
    <row r="47" spans="1:11">
      <c r="A47" s="38"/>
      <c r="B47" s="46"/>
      <c r="C47" s="47"/>
      <c r="F47" s="38"/>
      <c r="G47" s="46"/>
      <c r="H47" s="47"/>
    </row>
    <row r="48" spans="1:11" s="28" customFormat="1" ht="26.1">
      <c r="A48" s="28" t="s">
        <v>144</v>
      </c>
      <c r="F48" s="28" t="s">
        <v>145</v>
      </c>
      <c r="J48" s="29"/>
    </row>
    <row r="49" spans="1:9" ht="29.1">
      <c r="A49" s="33" t="s">
        <v>91</v>
      </c>
      <c r="B49" s="34"/>
      <c r="C49" s="35" t="s">
        <v>146</v>
      </c>
      <c r="D49" s="36" t="s">
        <v>93</v>
      </c>
      <c r="F49" s="33" t="s">
        <v>91</v>
      </c>
      <c r="G49" s="34"/>
      <c r="H49" s="35" t="s">
        <v>146</v>
      </c>
      <c r="I49" s="36" t="s">
        <v>93</v>
      </c>
    </row>
    <row r="50" spans="1:9" ht="14.65" customHeight="1">
      <c r="A50" s="107" t="s">
        <v>147</v>
      </c>
      <c r="B50" s="108"/>
      <c r="C50" s="52"/>
      <c r="D50" s="39">
        <v>300000</v>
      </c>
      <c r="F50" s="107" t="s">
        <v>147</v>
      </c>
      <c r="G50" s="108"/>
      <c r="H50" s="52"/>
      <c r="I50" s="39">
        <v>300000</v>
      </c>
    </row>
    <row r="51" spans="1:9">
      <c r="A51" s="37" t="s">
        <v>109</v>
      </c>
      <c r="B51" s="38"/>
      <c r="C51" s="53">
        <v>0.1</v>
      </c>
      <c r="D51" s="39">
        <f>SUM(C51*(D50))</f>
        <v>30000</v>
      </c>
      <c r="F51" s="107" t="s">
        <v>148</v>
      </c>
      <c r="G51" s="108"/>
      <c r="H51" s="53"/>
      <c r="I51" s="39">
        <v>100000</v>
      </c>
    </row>
    <row r="52" spans="1:9">
      <c r="A52" s="111" t="s">
        <v>121</v>
      </c>
      <c r="B52" s="112"/>
      <c r="C52" s="44"/>
      <c r="D52" s="45">
        <f>SUM(D50:D51)</f>
        <v>330000</v>
      </c>
      <c r="F52" s="37" t="s">
        <v>109</v>
      </c>
      <c r="G52" s="38"/>
      <c r="H52" s="53">
        <v>0.1</v>
      </c>
      <c r="I52" s="39" cm="1">
        <f t="array" ref="I52">SUM(H52*(I50:I51))</f>
        <v>40000</v>
      </c>
    </row>
    <row r="53" spans="1:9">
      <c r="F53" s="111" t="s">
        <v>121</v>
      </c>
      <c r="G53" s="112"/>
      <c r="H53" s="44"/>
      <c r="I53" s="45">
        <f>SUM(I50:I52)</f>
        <v>440000</v>
      </c>
    </row>
    <row r="54" spans="1:9">
      <c r="A54" s="38"/>
      <c r="B54" s="46"/>
      <c r="C54" s="47"/>
      <c r="F54" s="38"/>
      <c r="G54" s="46"/>
      <c r="H54" s="47"/>
    </row>
    <row r="55" spans="1:9">
      <c r="A55" s="38"/>
      <c r="B55" s="46"/>
      <c r="C55" s="47"/>
      <c r="F55" s="38"/>
      <c r="G55" s="46"/>
      <c r="H55" s="47"/>
    </row>
    <row r="57" spans="1:9" ht="28.35">
      <c r="A57" s="27" t="s">
        <v>149</v>
      </c>
      <c r="F57" s="27" t="s">
        <v>149</v>
      </c>
    </row>
    <row r="58" spans="1:9" ht="29.1">
      <c r="A58" s="33" t="s">
        <v>91</v>
      </c>
      <c r="B58" s="35"/>
      <c r="C58" s="34"/>
      <c r="D58" s="36" t="s">
        <v>93</v>
      </c>
      <c r="F58" s="33" t="s">
        <v>91</v>
      </c>
      <c r="G58" s="35"/>
      <c r="H58" s="34"/>
      <c r="I58" s="36" t="s">
        <v>93</v>
      </c>
    </row>
    <row r="59" spans="1:9">
      <c r="A59" s="107" t="s">
        <v>150</v>
      </c>
      <c r="B59" s="108"/>
      <c r="C59" s="108"/>
      <c r="D59" s="39">
        <f>SUM(D26)</f>
        <v>272000</v>
      </c>
      <c r="F59" s="107" t="s">
        <v>150</v>
      </c>
      <c r="G59" s="108"/>
      <c r="H59" s="108"/>
      <c r="I59" s="39">
        <f>SUM(I26)</f>
        <v>272000</v>
      </c>
    </row>
    <row r="60" spans="1:9">
      <c r="A60" s="107" t="s">
        <v>151</v>
      </c>
      <c r="B60" s="108"/>
      <c r="C60" s="108"/>
      <c r="D60" s="39">
        <f>SUM(2*D36)</f>
        <v>7920000</v>
      </c>
      <c r="F60" s="107" t="s">
        <v>152</v>
      </c>
      <c r="G60" s="108"/>
      <c r="H60" s="108"/>
      <c r="I60" s="39">
        <f>SUM(I36)</f>
        <v>4680000</v>
      </c>
    </row>
    <row r="61" spans="1:9">
      <c r="A61" s="107" t="s">
        <v>153</v>
      </c>
      <c r="B61" s="108"/>
      <c r="C61" s="108"/>
      <c r="D61" s="39">
        <f>SUM(D44)</f>
        <v>250000</v>
      </c>
      <c r="F61" s="107" t="s">
        <v>153</v>
      </c>
      <c r="G61" s="108"/>
      <c r="H61" s="108"/>
      <c r="I61" s="39">
        <f>SUM(I44)</f>
        <v>250000</v>
      </c>
    </row>
    <row r="62" spans="1:9">
      <c r="A62" s="107" t="s">
        <v>154</v>
      </c>
      <c r="B62" s="108"/>
      <c r="C62" s="108"/>
      <c r="D62" s="39">
        <f>SUM(D52)</f>
        <v>330000</v>
      </c>
      <c r="F62" s="107" t="s">
        <v>155</v>
      </c>
      <c r="G62" s="108"/>
      <c r="H62" s="108"/>
      <c r="I62" s="39">
        <f>SUM(I53)</f>
        <v>440000</v>
      </c>
    </row>
    <row r="63" spans="1:9">
      <c r="A63" s="111" t="s">
        <v>121</v>
      </c>
      <c r="B63" s="112"/>
      <c r="C63" s="112"/>
      <c r="D63" s="45">
        <f>SUM(D59:D62)</f>
        <v>8772000</v>
      </c>
      <c r="F63" s="111" t="s">
        <v>121</v>
      </c>
      <c r="G63" s="112"/>
      <c r="H63" s="112"/>
      <c r="I63" s="45">
        <f>SUM(I59:I62)</f>
        <v>5642000</v>
      </c>
    </row>
    <row r="67" spans="1:11" s="28" customFormat="1" ht="26.1">
      <c r="A67" s="28" t="s">
        <v>156</v>
      </c>
      <c r="F67" s="28" t="s">
        <v>156</v>
      </c>
      <c r="J67" s="29"/>
    </row>
    <row r="68" spans="1:11" ht="29.1">
      <c r="A68" s="33" t="s">
        <v>91</v>
      </c>
      <c r="B68" s="34"/>
      <c r="C68" s="35" t="s">
        <v>157</v>
      </c>
      <c r="D68" s="36" t="s">
        <v>93</v>
      </c>
      <c r="F68" s="33" t="s">
        <v>91</v>
      </c>
      <c r="G68" s="34"/>
      <c r="H68" s="35" t="s">
        <v>157</v>
      </c>
      <c r="I68" s="36" t="s">
        <v>93</v>
      </c>
    </row>
    <row r="69" spans="1:11">
      <c r="A69" s="107" t="s">
        <v>158</v>
      </c>
      <c r="B69" s="108"/>
      <c r="C69" s="39">
        <v>45</v>
      </c>
      <c r="D69" s="39">
        <f>SUM(C69)*C70</f>
        <v>45000</v>
      </c>
      <c r="F69" s="107" t="s">
        <v>158</v>
      </c>
      <c r="G69" s="108"/>
      <c r="H69" s="39">
        <v>45</v>
      </c>
      <c r="I69" s="39">
        <f>SUM(H69)*H70</f>
        <v>45000</v>
      </c>
    </row>
    <row r="70" spans="1:11">
      <c r="A70" s="109" t="s">
        <v>116</v>
      </c>
      <c r="B70" s="110"/>
      <c r="C70" s="56">
        <v>1000</v>
      </c>
      <c r="D70" s="39"/>
      <c r="F70" s="109" t="s">
        <v>116</v>
      </c>
      <c r="G70" s="110"/>
      <c r="H70" s="56">
        <v>1000</v>
      </c>
      <c r="I70" s="39"/>
    </row>
    <row r="71" spans="1:11">
      <c r="A71" s="111" t="s">
        <v>121</v>
      </c>
      <c r="B71" s="112"/>
      <c r="C71" s="44"/>
      <c r="D71" s="45">
        <f>SUM(D69:D69)</f>
        <v>45000</v>
      </c>
      <c r="F71" s="111" t="s">
        <v>121</v>
      </c>
      <c r="G71" s="112"/>
      <c r="H71" s="44"/>
      <c r="I71" s="45">
        <f>SUM(I69:I69)</f>
        <v>45000</v>
      </c>
    </row>
    <row r="72" spans="1:11">
      <c r="A72" s="38"/>
      <c r="B72" s="46"/>
      <c r="C72" s="47"/>
      <c r="F72" s="38"/>
      <c r="G72" s="46"/>
      <c r="H72" s="47"/>
    </row>
    <row r="73" spans="1:11">
      <c r="A73" s="38"/>
      <c r="B73" s="46"/>
      <c r="C73" s="47"/>
      <c r="F73" s="38"/>
      <c r="G73" s="46"/>
      <c r="H73" s="47"/>
    </row>
    <row r="75" spans="1:11" s="28" customFormat="1" ht="26.1">
      <c r="A75" s="28" t="s">
        <v>159</v>
      </c>
      <c r="F75" s="28" t="s">
        <v>160</v>
      </c>
      <c r="J75" s="29"/>
    </row>
    <row r="76" spans="1:11" ht="29.1">
      <c r="A76" s="33" t="s">
        <v>91</v>
      </c>
      <c r="B76" s="34"/>
      <c r="C76" s="35" t="s">
        <v>137</v>
      </c>
      <c r="D76" s="36" t="s">
        <v>93</v>
      </c>
      <c r="F76" s="33" t="s">
        <v>91</v>
      </c>
      <c r="G76" s="34"/>
      <c r="H76" s="35" t="s">
        <v>126</v>
      </c>
      <c r="I76" s="36" t="s">
        <v>93</v>
      </c>
    </row>
    <row r="77" spans="1:11">
      <c r="A77" s="116" t="s">
        <v>161</v>
      </c>
      <c r="B77" s="117"/>
      <c r="C77" s="83" t="s">
        <v>162</v>
      </c>
      <c r="D77" s="39">
        <f>SUM((1922*8760*H7/1000)+0)</f>
        <v>1969896.24</v>
      </c>
      <c r="F77" s="116" t="s">
        <v>163</v>
      </c>
      <c r="G77" s="117"/>
      <c r="H77" s="7" t="s">
        <v>164</v>
      </c>
      <c r="I77" s="39">
        <f>SUM(1080*8760*H7/1000)</f>
        <v>1106913.6000000001</v>
      </c>
    </row>
    <row r="78" spans="1:11">
      <c r="A78" s="57" t="s">
        <v>165</v>
      </c>
      <c r="B78" s="58"/>
      <c r="C78" s="83" t="s">
        <v>166</v>
      </c>
      <c r="D78" s="39">
        <f>SUM((1026*8760*H7/1000)+0)</f>
        <v>1051567.92</v>
      </c>
      <c r="F78" s="107" t="s">
        <v>167</v>
      </c>
      <c r="G78" s="108"/>
      <c r="H78" s="7" t="s">
        <v>168</v>
      </c>
      <c r="I78" s="39">
        <v>80000</v>
      </c>
      <c r="K78" s="7" t="s">
        <v>169</v>
      </c>
    </row>
    <row r="79" spans="1:11">
      <c r="A79" s="107" t="s">
        <v>167</v>
      </c>
      <c r="B79" s="108"/>
      <c r="C79" s="82"/>
      <c r="D79" s="39">
        <v>80000</v>
      </c>
      <c r="F79" s="107" t="s">
        <v>170</v>
      </c>
      <c r="G79" s="108"/>
      <c r="H79" s="54" t="s">
        <v>171</v>
      </c>
      <c r="I79" s="39">
        <v>20000</v>
      </c>
      <c r="K79" s="7" t="s">
        <v>172</v>
      </c>
    </row>
    <row r="80" spans="1:11" ht="14.65" customHeight="1">
      <c r="A80" s="107" t="s">
        <v>170</v>
      </c>
      <c r="B80" s="108"/>
      <c r="C80" s="54"/>
      <c r="D80" s="39">
        <v>20000</v>
      </c>
      <c r="F80" s="107" t="s">
        <v>173</v>
      </c>
      <c r="G80" s="108"/>
      <c r="H80" s="55" t="s">
        <v>174</v>
      </c>
      <c r="I80" s="39">
        <v>15000</v>
      </c>
    </row>
    <row r="81" spans="1:10">
      <c r="A81" s="107" t="s">
        <v>173</v>
      </c>
      <c r="B81" s="108"/>
      <c r="C81" s="55"/>
      <c r="D81" s="39">
        <v>15000</v>
      </c>
      <c r="F81" s="111" t="s">
        <v>121</v>
      </c>
      <c r="G81" s="112"/>
      <c r="H81" s="44"/>
      <c r="I81" s="45">
        <f>SUM(I77:I80)</f>
        <v>1221913.6000000001</v>
      </c>
    </row>
    <row r="82" spans="1:10">
      <c r="A82" s="111" t="s">
        <v>121</v>
      </c>
      <c r="B82" s="112"/>
      <c r="C82" s="44"/>
      <c r="D82" s="45">
        <f>SUM(D77:D81)</f>
        <v>3136464.16</v>
      </c>
    </row>
    <row r="83" spans="1:10">
      <c r="A83" s="38"/>
      <c r="B83" s="38"/>
      <c r="C83" s="46"/>
      <c r="D83" s="47"/>
      <c r="F83" s="38"/>
      <c r="G83" s="38"/>
      <c r="H83" s="46"/>
      <c r="I83" s="47"/>
    </row>
    <row r="84" spans="1:10">
      <c r="A84" s="38"/>
      <c r="B84" s="46"/>
      <c r="C84" s="47"/>
      <c r="F84" s="38"/>
      <c r="G84" s="46"/>
      <c r="H84" s="47"/>
    </row>
    <row r="86" spans="1:10" s="28" customFormat="1" ht="26.1">
      <c r="A86" s="28" t="s">
        <v>175</v>
      </c>
      <c r="F86" s="28" t="s">
        <v>175</v>
      </c>
      <c r="J86" s="29"/>
    </row>
    <row r="87" spans="1:10" ht="29.1">
      <c r="A87" s="33" t="s">
        <v>91</v>
      </c>
      <c r="B87" s="34"/>
      <c r="C87" s="35"/>
      <c r="D87" s="36" t="s">
        <v>93</v>
      </c>
      <c r="F87" s="33" t="s">
        <v>91</v>
      </c>
      <c r="G87" s="34"/>
      <c r="H87" s="35"/>
      <c r="I87" s="36" t="s">
        <v>93</v>
      </c>
    </row>
    <row r="88" spans="1:10">
      <c r="A88" s="107" t="s">
        <v>176</v>
      </c>
      <c r="B88" s="108"/>
      <c r="C88" s="52"/>
      <c r="D88" s="39">
        <v>5000</v>
      </c>
      <c r="F88" s="107" t="s">
        <v>176</v>
      </c>
      <c r="G88" s="108"/>
      <c r="H88" s="52"/>
      <c r="I88" s="39">
        <v>5000</v>
      </c>
    </row>
    <row r="89" spans="1:10">
      <c r="A89" s="111" t="s">
        <v>121</v>
      </c>
      <c r="B89" s="112"/>
      <c r="C89" s="44"/>
      <c r="D89" s="45">
        <f>SUM(D88:D88)</f>
        <v>5000</v>
      </c>
      <c r="F89" s="111" t="s">
        <v>121</v>
      </c>
      <c r="G89" s="112"/>
      <c r="H89" s="44"/>
      <c r="I89" s="45">
        <f>SUM(I88:I88)</f>
        <v>5000</v>
      </c>
    </row>
    <row r="93" spans="1:10" s="28" customFormat="1" ht="26.1">
      <c r="A93" s="28" t="s">
        <v>177</v>
      </c>
      <c r="F93" s="28" t="s">
        <v>177</v>
      </c>
      <c r="J93" s="29"/>
    </row>
    <row r="94" spans="1:10" ht="29.1">
      <c r="A94" s="33" t="s">
        <v>91</v>
      </c>
      <c r="B94" s="34"/>
      <c r="C94" s="35"/>
      <c r="D94" s="36" t="s">
        <v>93</v>
      </c>
      <c r="F94" s="33" t="s">
        <v>91</v>
      </c>
      <c r="G94" s="34"/>
      <c r="H94" s="35"/>
      <c r="I94" s="36" t="s">
        <v>93</v>
      </c>
    </row>
    <row r="95" spans="1:10" ht="14.65" customHeight="1">
      <c r="A95" s="107" t="s">
        <v>167</v>
      </c>
      <c r="B95" s="108"/>
      <c r="C95" s="55"/>
      <c r="D95" s="39">
        <v>10000</v>
      </c>
      <c r="F95" s="107" t="s">
        <v>178</v>
      </c>
      <c r="G95" s="108"/>
      <c r="H95" s="55"/>
      <c r="I95" s="39">
        <v>15000</v>
      </c>
    </row>
    <row r="96" spans="1:10">
      <c r="A96" s="111" t="s">
        <v>121</v>
      </c>
      <c r="B96" s="112"/>
      <c r="C96" s="44"/>
      <c r="D96" s="45">
        <f>SUM(D95:D95)</f>
        <v>10000</v>
      </c>
      <c r="F96" s="111" t="s">
        <v>121</v>
      </c>
      <c r="G96" s="112"/>
      <c r="H96" s="44"/>
      <c r="I96" s="45">
        <f>SUM(I95:I95)</f>
        <v>15000</v>
      </c>
    </row>
    <row r="100" spans="1:9" ht="28.35">
      <c r="A100" s="27" t="s">
        <v>179</v>
      </c>
      <c r="F100" s="27" t="s">
        <v>179</v>
      </c>
    </row>
    <row r="101" spans="1:9" ht="29.1">
      <c r="A101" s="33" t="s">
        <v>91</v>
      </c>
      <c r="B101" s="34"/>
      <c r="C101" s="35"/>
      <c r="D101" s="36" t="s">
        <v>93</v>
      </c>
      <c r="F101" s="33" t="s">
        <v>91</v>
      </c>
      <c r="G101" s="34"/>
      <c r="H101" s="35"/>
      <c r="I101" s="36" t="s">
        <v>93</v>
      </c>
    </row>
    <row r="102" spans="1:9">
      <c r="A102" s="107" t="s">
        <v>180</v>
      </c>
      <c r="B102" s="108"/>
      <c r="C102" s="46"/>
      <c r="D102" s="39">
        <f>SUM(D71)</f>
        <v>45000</v>
      </c>
      <c r="F102" s="107" t="s">
        <v>180</v>
      </c>
      <c r="G102" s="108"/>
      <c r="H102" s="46"/>
      <c r="I102" s="39">
        <f>SUM(I71)</f>
        <v>45000</v>
      </c>
    </row>
    <row r="103" spans="1:9">
      <c r="A103" s="107" t="s">
        <v>181</v>
      </c>
      <c r="B103" s="108"/>
      <c r="C103" s="108"/>
      <c r="D103" s="39">
        <f>SUM(D82)</f>
        <v>3136464.16</v>
      </c>
      <c r="F103" s="107" t="s">
        <v>182</v>
      </c>
      <c r="G103" s="108"/>
      <c r="H103" s="108"/>
      <c r="I103" s="39">
        <f>SUM(I81)</f>
        <v>1221913.6000000001</v>
      </c>
    </row>
    <row r="104" spans="1:9">
      <c r="A104" s="107" t="s">
        <v>183</v>
      </c>
      <c r="B104" s="108"/>
      <c r="C104" s="53"/>
      <c r="D104" s="39">
        <f>SUM(D89)</f>
        <v>5000</v>
      </c>
      <c r="F104" s="107" t="s">
        <v>183</v>
      </c>
      <c r="G104" s="108"/>
      <c r="H104" s="53"/>
      <c r="I104" s="39">
        <f>SUM(I89)</f>
        <v>5000</v>
      </c>
    </row>
    <row r="105" spans="1:9">
      <c r="A105" s="107" t="s">
        <v>184</v>
      </c>
      <c r="B105" s="108"/>
      <c r="C105" s="108"/>
      <c r="D105" s="39">
        <f>SUM(D96)</f>
        <v>10000</v>
      </c>
      <c r="F105" s="107" t="s">
        <v>185</v>
      </c>
      <c r="G105" s="108"/>
      <c r="H105" s="108"/>
      <c r="I105" s="39">
        <f>SUM(I96)</f>
        <v>15000</v>
      </c>
    </row>
    <row r="106" spans="1:9">
      <c r="A106" s="111" t="s">
        <v>121</v>
      </c>
      <c r="B106" s="112"/>
      <c r="C106" s="44"/>
      <c r="D106" s="45">
        <f>SUM(D102:D104)</f>
        <v>3186464.16</v>
      </c>
      <c r="F106" s="111" t="s">
        <v>121</v>
      </c>
      <c r="G106" s="112"/>
      <c r="H106" s="44"/>
      <c r="I106" s="45">
        <f>SUM(I102:I104)</f>
        <v>1271913.6000000001</v>
      </c>
    </row>
    <row r="110" spans="1:9" ht="28.35">
      <c r="A110" s="27" t="s">
        <v>186</v>
      </c>
    </row>
    <row r="111" spans="1:9">
      <c r="A111" s="7" t="s">
        <v>187</v>
      </c>
    </row>
    <row r="112" spans="1:9">
      <c r="A112" s="7"/>
    </row>
    <row r="113" spans="1:13" s="62" customFormat="1">
      <c r="A113" s="59"/>
      <c r="B113" s="60"/>
      <c r="C113" s="60" t="s">
        <v>188</v>
      </c>
      <c r="D113" s="60" t="s">
        <v>189</v>
      </c>
      <c r="E113" s="60" t="s">
        <v>190</v>
      </c>
      <c r="F113" s="60" t="s">
        <v>191</v>
      </c>
      <c r="G113" s="60" t="s">
        <v>192</v>
      </c>
      <c r="H113" s="60" t="s">
        <v>193</v>
      </c>
      <c r="I113" s="60" t="s">
        <v>194</v>
      </c>
      <c r="J113" s="60" t="s">
        <v>195</v>
      </c>
      <c r="K113" s="60" t="s">
        <v>196</v>
      </c>
      <c r="L113" s="60" t="s">
        <v>197</v>
      </c>
      <c r="M113" s="61" t="s">
        <v>198</v>
      </c>
    </row>
    <row r="114" spans="1:13" s="58" customFormat="1">
      <c r="A114" s="15" t="s">
        <v>199</v>
      </c>
      <c r="B114" s="63"/>
      <c r="C114" s="63"/>
      <c r="D114" s="63">
        <f>SUM(D115:D121)</f>
        <v>191487.14432000008</v>
      </c>
      <c r="E114" s="63">
        <f t="shared" ref="E114:M122" si="0">D114</f>
        <v>191487.14432000008</v>
      </c>
      <c r="F114" s="63">
        <f t="shared" si="0"/>
        <v>191487.14432000008</v>
      </c>
      <c r="G114" s="63">
        <f t="shared" si="0"/>
        <v>191487.14432000008</v>
      </c>
      <c r="H114" s="63">
        <f t="shared" si="0"/>
        <v>191487.14432000008</v>
      </c>
      <c r="I114" s="63">
        <f t="shared" si="0"/>
        <v>191487.14432000008</v>
      </c>
      <c r="J114" s="63">
        <f t="shared" si="0"/>
        <v>191487.14432000008</v>
      </c>
      <c r="K114" s="63">
        <f t="shared" si="0"/>
        <v>191487.14432000008</v>
      </c>
      <c r="L114" s="63">
        <f t="shared" si="0"/>
        <v>191487.14432000008</v>
      </c>
      <c r="M114" s="64">
        <f t="shared" si="0"/>
        <v>191487.14432000008</v>
      </c>
    </row>
    <row r="115" spans="1:13">
      <c r="A115" s="65" t="s">
        <v>150</v>
      </c>
      <c r="D115" s="66">
        <f>-SUM(D71)</f>
        <v>-45000</v>
      </c>
      <c r="E115" s="66">
        <f t="shared" si="0"/>
        <v>-45000</v>
      </c>
      <c r="F115" s="66">
        <f t="shared" si="0"/>
        <v>-45000</v>
      </c>
      <c r="G115" s="66">
        <f t="shared" si="0"/>
        <v>-45000</v>
      </c>
      <c r="H115" s="66">
        <f t="shared" si="0"/>
        <v>-45000</v>
      </c>
      <c r="I115" s="66">
        <f t="shared" si="0"/>
        <v>-45000</v>
      </c>
      <c r="J115" s="66">
        <f t="shared" si="0"/>
        <v>-45000</v>
      </c>
      <c r="K115" s="66">
        <f t="shared" si="0"/>
        <v>-45000</v>
      </c>
      <c r="L115" s="66">
        <f t="shared" si="0"/>
        <v>-45000</v>
      </c>
      <c r="M115" s="67">
        <f t="shared" si="0"/>
        <v>-45000</v>
      </c>
    </row>
    <row r="116" spans="1:13">
      <c r="A116" s="65" t="s">
        <v>200</v>
      </c>
      <c r="D116" s="66">
        <f>-SUM(D79:D81)</f>
        <v>-115000</v>
      </c>
      <c r="E116" s="66">
        <f t="shared" si="0"/>
        <v>-115000</v>
      </c>
      <c r="F116" s="66">
        <f t="shared" si="0"/>
        <v>-115000</v>
      </c>
      <c r="G116" s="66">
        <f t="shared" si="0"/>
        <v>-115000</v>
      </c>
      <c r="H116" s="66">
        <f t="shared" si="0"/>
        <v>-115000</v>
      </c>
      <c r="I116" s="66">
        <f t="shared" si="0"/>
        <v>-115000</v>
      </c>
      <c r="J116" s="66">
        <f t="shared" si="0"/>
        <v>-115000</v>
      </c>
      <c r="K116" s="66">
        <f t="shared" si="0"/>
        <v>-115000</v>
      </c>
      <c r="L116" s="66">
        <f t="shared" si="0"/>
        <v>-115000</v>
      </c>
      <c r="M116" s="67">
        <f t="shared" si="0"/>
        <v>-115000</v>
      </c>
    </row>
    <row r="117" spans="1:13">
      <c r="A117" s="65" t="s">
        <v>183</v>
      </c>
      <c r="D117" s="66">
        <f>-SUM(D89)</f>
        <v>-5000</v>
      </c>
      <c r="E117" s="66">
        <f t="shared" si="0"/>
        <v>-5000</v>
      </c>
      <c r="F117" s="66">
        <f t="shared" si="0"/>
        <v>-5000</v>
      </c>
      <c r="G117" s="66">
        <f t="shared" si="0"/>
        <v>-5000</v>
      </c>
      <c r="H117" s="66">
        <f t="shared" si="0"/>
        <v>-5000</v>
      </c>
      <c r="I117" s="66">
        <f t="shared" si="0"/>
        <v>-5000</v>
      </c>
      <c r="J117" s="66">
        <f t="shared" si="0"/>
        <v>-5000</v>
      </c>
      <c r="K117" s="66">
        <f t="shared" si="0"/>
        <v>-5000</v>
      </c>
      <c r="L117" s="66">
        <f t="shared" si="0"/>
        <v>-5000</v>
      </c>
      <c r="M117" s="67">
        <f t="shared" si="0"/>
        <v>-5000</v>
      </c>
    </row>
    <row r="118" spans="1:13">
      <c r="A118" s="65" t="s">
        <v>201</v>
      </c>
      <c r="D118" s="66">
        <f>-SUM(D95)</f>
        <v>-10000</v>
      </c>
      <c r="E118" s="66">
        <f t="shared" si="0"/>
        <v>-10000</v>
      </c>
      <c r="F118" s="66">
        <f t="shared" si="0"/>
        <v>-10000</v>
      </c>
      <c r="G118" s="66">
        <f t="shared" si="0"/>
        <v>-10000</v>
      </c>
      <c r="H118" s="66">
        <f t="shared" si="0"/>
        <v>-10000</v>
      </c>
      <c r="I118" s="66">
        <f t="shared" si="0"/>
        <v>-10000</v>
      </c>
      <c r="J118" s="66">
        <f t="shared" si="0"/>
        <v>-10000</v>
      </c>
      <c r="K118" s="66">
        <f t="shared" si="0"/>
        <v>-10000</v>
      </c>
      <c r="L118" s="66">
        <f t="shared" si="0"/>
        <v>-10000</v>
      </c>
      <c r="M118" s="67">
        <f t="shared" si="0"/>
        <v>-10000</v>
      </c>
    </row>
    <row r="119" spans="1:13">
      <c r="A119" s="65" t="s">
        <v>202</v>
      </c>
      <c r="D119" s="66">
        <f>-SUM(D77+D78)</f>
        <v>-3021464.16</v>
      </c>
      <c r="E119" s="66">
        <f>D119</f>
        <v>-3021464.16</v>
      </c>
      <c r="F119" s="66">
        <f t="shared" si="0"/>
        <v>-3021464.16</v>
      </c>
      <c r="G119" s="66">
        <f t="shared" si="0"/>
        <v>-3021464.16</v>
      </c>
      <c r="H119" s="66">
        <f t="shared" si="0"/>
        <v>-3021464.16</v>
      </c>
      <c r="I119" s="66">
        <f t="shared" si="0"/>
        <v>-3021464.16</v>
      </c>
      <c r="J119" s="66">
        <f t="shared" si="0"/>
        <v>-3021464.16</v>
      </c>
      <c r="K119" s="66">
        <f t="shared" si="0"/>
        <v>-3021464.16</v>
      </c>
      <c r="L119" s="66">
        <f t="shared" si="0"/>
        <v>-3021464.16</v>
      </c>
      <c r="M119" s="67">
        <f t="shared" si="0"/>
        <v>-3021464.16</v>
      </c>
    </row>
    <row r="120" spans="1:13">
      <c r="A120" s="65" t="s">
        <v>203</v>
      </c>
      <c r="D120" s="66">
        <f>SUM(D122*H8)</f>
        <v>2491484.1600000001</v>
      </c>
      <c r="E120" s="66">
        <f t="shared" si="0"/>
        <v>2491484.1600000001</v>
      </c>
      <c r="F120" s="66">
        <f t="shared" si="0"/>
        <v>2491484.1600000001</v>
      </c>
      <c r="G120" s="66">
        <f t="shared" si="0"/>
        <v>2491484.1600000001</v>
      </c>
      <c r="H120" s="66">
        <f t="shared" si="0"/>
        <v>2491484.1600000001</v>
      </c>
      <c r="I120" s="66">
        <f t="shared" si="0"/>
        <v>2491484.1600000001</v>
      </c>
      <c r="J120" s="66">
        <f t="shared" si="0"/>
        <v>2491484.1600000001</v>
      </c>
      <c r="K120" s="66">
        <f t="shared" si="0"/>
        <v>2491484.1600000001</v>
      </c>
      <c r="L120" s="66">
        <f t="shared" si="0"/>
        <v>2491484.1600000001</v>
      </c>
      <c r="M120" s="67">
        <f t="shared" si="0"/>
        <v>2491484.1600000001</v>
      </c>
    </row>
    <row r="121" spans="1:13">
      <c r="A121" s="65" t="s">
        <v>204</v>
      </c>
      <c r="C121" s="72"/>
      <c r="D121" s="72">
        <f>SUM(H9*D123)</f>
        <v>896467.14432000008</v>
      </c>
      <c r="E121" s="72">
        <f>D121</f>
        <v>896467.14432000008</v>
      </c>
      <c r="F121" s="72">
        <f t="shared" si="0"/>
        <v>896467.14432000008</v>
      </c>
      <c r="G121" s="72">
        <f t="shared" si="0"/>
        <v>896467.14432000008</v>
      </c>
      <c r="H121" s="72">
        <f t="shared" si="0"/>
        <v>896467.14432000008</v>
      </c>
      <c r="I121" s="72">
        <f t="shared" si="0"/>
        <v>896467.14432000008</v>
      </c>
      <c r="J121" s="72">
        <f t="shared" si="0"/>
        <v>896467.14432000008</v>
      </c>
      <c r="K121" s="72">
        <f t="shared" si="0"/>
        <v>896467.14432000008</v>
      </c>
      <c r="L121" s="72">
        <f t="shared" si="0"/>
        <v>896467.14432000008</v>
      </c>
      <c r="M121" s="73">
        <f t="shared" si="0"/>
        <v>896467.14432000008</v>
      </c>
    </row>
    <row r="122" spans="1:13">
      <c r="A122" s="68" t="s">
        <v>205</v>
      </c>
      <c r="B122" s="69"/>
      <c r="C122" s="69"/>
      <c r="D122" s="70">
        <f>SUM(1111*8760*8/1000)</f>
        <v>77858.880000000005</v>
      </c>
      <c r="E122" s="70">
        <f t="shared" si="0"/>
        <v>77858.880000000005</v>
      </c>
      <c r="F122" s="70">
        <f t="shared" si="0"/>
        <v>77858.880000000005</v>
      </c>
      <c r="G122" s="70">
        <f t="shared" si="0"/>
        <v>77858.880000000005</v>
      </c>
      <c r="H122" s="70">
        <f t="shared" si="0"/>
        <v>77858.880000000005</v>
      </c>
      <c r="I122" s="70">
        <f t="shared" si="0"/>
        <v>77858.880000000005</v>
      </c>
      <c r="J122" s="70">
        <f t="shared" si="0"/>
        <v>77858.880000000005</v>
      </c>
      <c r="K122" s="70">
        <f t="shared" si="0"/>
        <v>77858.880000000005</v>
      </c>
      <c r="L122" s="70">
        <f t="shared" si="0"/>
        <v>77858.880000000005</v>
      </c>
      <c r="M122" s="71">
        <f t="shared" si="0"/>
        <v>77858.880000000005</v>
      </c>
    </row>
    <row r="123" spans="1:13">
      <c r="A123" s="68" t="s">
        <v>206</v>
      </c>
      <c r="B123" s="69"/>
      <c r="C123" s="69"/>
      <c r="D123" s="70">
        <f>SUM(D122*0.202)</f>
        <v>15727.493760000001</v>
      </c>
      <c r="E123" s="70">
        <f t="shared" ref="E123:M123" si="1">SUM(E122*0.202)</f>
        <v>15727.493760000001</v>
      </c>
      <c r="F123" s="70">
        <f t="shared" si="1"/>
        <v>15727.493760000001</v>
      </c>
      <c r="G123" s="70">
        <f t="shared" si="1"/>
        <v>15727.493760000001</v>
      </c>
      <c r="H123" s="70">
        <f t="shared" si="1"/>
        <v>15727.493760000001</v>
      </c>
      <c r="I123" s="70">
        <f t="shared" si="1"/>
        <v>15727.493760000001</v>
      </c>
      <c r="J123" s="70">
        <f t="shared" si="1"/>
        <v>15727.493760000001</v>
      </c>
      <c r="K123" s="70">
        <f t="shared" si="1"/>
        <v>15727.493760000001</v>
      </c>
      <c r="L123" s="70">
        <f t="shared" si="1"/>
        <v>15727.493760000001</v>
      </c>
      <c r="M123" s="71">
        <f t="shared" si="1"/>
        <v>15727.493760000001</v>
      </c>
    </row>
    <row r="124" spans="1:13" s="58" customFormat="1">
      <c r="A124" s="15" t="s">
        <v>207</v>
      </c>
      <c r="B124" s="63"/>
      <c r="C124" s="63">
        <f>SUM(C125:C128)</f>
        <v>-8772000</v>
      </c>
      <c r="D124" s="63">
        <v>0</v>
      </c>
      <c r="E124" s="63">
        <v>0</v>
      </c>
      <c r="F124" s="63">
        <v>0</v>
      </c>
      <c r="G124" s="63">
        <v>0</v>
      </c>
      <c r="H124" s="63">
        <v>0</v>
      </c>
      <c r="I124" s="63">
        <v>0</v>
      </c>
      <c r="J124" s="63">
        <v>0</v>
      </c>
      <c r="K124" s="63">
        <v>0</v>
      </c>
      <c r="L124" s="63">
        <v>0</v>
      </c>
      <c r="M124" s="64">
        <v>0</v>
      </c>
    </row>
    <row r="125" spans="1:13">
      <c r="A125" s="65" t="s">
        <v>150</v>
      </c>
      <c r="C125" s="66">
        <f>-SUM(D59)</f>
        <v>-272000</v>
      </c>
      <c r="D125" s="72"/>
      <c r="E125" s="72"/>
      <c r="F125" s="72"/>
      <c r="G125" s="72"/>
      <c r="H125" s="72"/>
      <c r="I125" s="72"/>
      <c r="J125" s="72"/>
      <c r="K125" s="72"/>
      <c r="L125" s="72"/>
      <c r="M125" s="73"/>
    </row>
    <row r="126" spans="1:13">
      <c r="A126" s="65" t="s">
        <v>208</v>
      </c>
      <c r="C126" s="66">
        <f>-SUM(D60)</f>
        <v>-7920000</v>
      </c>
      <c r="D126" s="72"/>
      <c r="E126" s="72"/>
      <c r="F126" s="72"/>
      <c r="G126" s="72"/>
      <c r="H126" s="72"/>
      <c r="I126" s="72"/>
      <c r="J126" s="72"/>
      <c r="K126" s="72"/>
      <c r="L126" s="72"/>
      <c r="M126" s="73"/>
    </row>
    <row r="127" spans="1:13">
      <c r="A127" s="65" t="s">
        <v>153</v>
      </c>
      <c r="C127" s="66">
        <f>-SUM(D61)</f>
        <v>-250000</v>
      </c>
      <c r="D127" s="72"/>
      <c r="E127" s="72"/>
      <c r="F127" s="72"/>
      <c r="G127" s="72"/>
      <c r="H127" s="72"/>
      <c r="I127" s="72"/>
      <c r="J127" s="72"/>
      <c r="K127" s="72"/>
      <c r="L127" s="72"/>
      <c r="M127" s="73"/>
    </row>
    <row r="128" spans="1:13">
      <c r="A128" s="65" t="s">
        <v>209</v>
      </c>
      <c r="C128" s="66">
        <f>-SUM(D52)</f>
        <v>-330000</v>
      </c>
      <c r="D128" s="72"/>
      <c r="E128" s="72"/>
      <c r="F128" s="72"/>
      <c r="G128" s="72"/>
      <c r="H128" s="72"/>
      <c r="I128" s="72"/>
      <c r="J128" s="72"/>
      <c r="K128" s="72"/>
      <c r="L128" s="72"/>
      <c r="M128" s="73"/>
    </row>
    <row r="129" spans="1:13" s="58" customFormat="1">
      <c r="A129" s="15" t="s">
        <v>210</v>
      </c>
      <c r="B129" s="74"/>
      <c r="C129" s="63">
        <f>SUM(C130)</f>
        <v>-2631600</v>
      </c>
      <c r="D129" s="63">
        <f>SUM(D130:D131)</f>
        <v>0</v>
      </c>
      <c r="E129" s="63">
        <f t="shared" ref="E129:M129" si="2">SUM(E130:E131)</f>
        <v>0</v>
      </c>
      <c r="F129" s="63">
        <f t="shared" si="2"/>
        <v>0</v>
      </c>
      <c r="G129" s="63">
        <f t="shared" si="2"/>
        <v>0</v>
      </c>
      <c r="H129" s="63">
        <f t="shared" si="2"/>
        <v>0</v>
      </c>
      <c r="I129" s="63">
        <f t="shared" si="2"/>
        <v>0</v>
      </c>
      <c r="J129" s="63">
        <f t="shared" si="2"/>
        <v>0</v>
      </c>
      <c r="K129" s="63">
        <f t="shared" si="2"/>
        <v>0</v>
      </c>
      <c r="L129" s="63">
        <f t="shared" si="2"/>
        <v>0</v>
      </c>
      <c r="M129" s="64">
        <f t="shared" si="2"/>
        <v>0</v>
      </c>
    </row>
    <row r="130" spans="1:13">
      <c r="A130" s="65" t="s">
        <v>211</v>
      </c>
      <c r="C130" s="72">
        <f>SUM(C124*H10)</f>
        <v>-2631600</v>
      </c>
      <c r="E130" s="72"/>
      <c r="F130" s="72"/>
      <c r="G130" s="72"/>
      <c r="H130" s="72"/>
      <c r="I130" s="72"/>
      <c r="J130" s="72"/>
      <c r="K130" s="72"/>
      <c r="L130" s="72"/>
      <c r="M130" s="73"/>
    </row>
    <row r="131" spans="1:13">
      <c r="A131" s="65" t="s">
        <v>212</v>
      </c>
      <c r="C131" s="72"/>
      <c r="D131" s="72">
        <f>SUM(H11*D123)</f>
        <v>0</v>
      </c>
      <c r="E131" s="72">
        <f>D131</f>
        <v>0</v>
      </c>
      <c r="F131" s="72">
        <f t="shared" ref="F131:M131" si="3">E131</f>
        <v>0</v>
      </c>
      <c r="G131" s="72">
        <f t="shared" si="3"/>
        <v>0</v>
      </c>
      <c r="H131" s="72">
        <f t="shared" si="3"/>
        <v>0</v>
      </c>
      <c r="I131" s="72">
        <f t="shared" si="3"/>
        <v>0</v>
      </c>
      <c r="J131" s="72">
        <f t="shared" si="3"/>
        <v>0</v>
      </c>
      <c r="K131" s="72">
        <f t="shared" si="3"/>
        <v>0</v>
      </c>
      <c r="L131" s="72">
        <f t="shared" si="3"/>
        <v>0</v>
      </c>
      <c r="M131" s="73">
        <f t="shared" si="3"/>
        <v>0</v>
      </c>
    </row>
    <row r="132" spans="1:13">
      <c r="A132" s="15" t="s">
        <v>213</v>
      </c>
      <c r="B132" s="9"/>
      <c r="C132" s="75">
        <f>SUM(C124-C130)</f>
        <v>-6140400</v>
      </c>
      <c r="D132" s="75">
        <f t="shared" ref="D132:M132" si="4">SUM(D124+D114+D129)</f>
        <v>191487.14432000008</v>
      </c>
      <c r="E132" s="75">
        <f t="shared" si="4"/>
        <v>191487.14432000008</v>
      </c>
      <c r="F132" s="75">
        <f t="shared" si="4"/>
        <v>191487.14432000008</v>
      </c>
      <c r="G132" s="75">
        <f t="shared" si="4"/>
        <v>191487.14432000008</v>
      </c>
      <c r="H132" s="75">
        <f t="shared" si="4"/>
        <v>191487.14432000008</v>
      </c>
      <c r="I132" s="75">
        <f t="shared" si="4"/>
        <v>191487.14432000008</v>
      </c>
      <c r="J132" s="75">
        <f t="shared" si="4"/>
        <v>191487.14432000008</v>
      </c>
      <c r="K132" s="75">
        <f t="shared" si="4"/>
        <v>191487.14432000008</v>
      </c>
      <c r="L132" s="75">
        <f t="shared" si="4"/>
        <v>191487.14432000008</v>
      </c>
      <c r="M132" s="76">
        <f t="shared" si="4"/>
        <v>191487.14432000008</v>
      </c>
    </row>
    <row r="133" spans="1:13">
      <c r="A133" s="18" t="s">
        <v>214</v>
      </c>
      <c r="B133" s="23"/>
      <c r="C133" s="77">
        <f>SUM(C132)</f>
        <v>-6140400</v>
      </c>
      <c r="D133" s="77">
        <f>SUM(C133+D132)</f>
        <v>-5948912.85568</v>
      </c>
      <c r="E133" s="77">
        <f t="shared" ref="E133:M133" si="5">SUM(D133+E132)</f>
        <v>-5757425.7113600001</v>
      </c>
      <c r="F133" s="77">
        <f t="shared" si="5"/>
        <v>-5565938.5670400001</v>
      </c>
      <c r="G133" s="77">
        <f t="shared" si="5"/>
        <v>-5374451.4227200001</v>
      </c>
      <c r="H133" s="77">
        <f t="shared" si="5"/>
        <v>-5182964.2784000002</v>
      </c>
      <c r="I133" s="77">
        <f t="shared" si="5"/>
        <v>-4991477.1340800002</v>
      </c>
      <c r="J133" s="77">
        <f t="shared" si="5"/>
        <v>-4799989.9897600003</v>
      </c>
      <c r="K133" s="77">
        <f t="shared" si="5"/>
        <v>-4608502.8454400003</v>
      </c>
      <c r="L133" s="77">
        <f t="shared" si="5"/>
        <v>-4417015.7011200003</v>
      </c>
      <c r="M133" s="78">
        <f t="shared" si="5"/>
        <v>-4225528.5568000004</v>
      </c>
    </row>
    <row r="137" spans="1:13" ht="28.35">
      <c r="A137" s="27" t="s">
        <v>215</v>
      </c>
    </row>
    <row r="139" spans="1:13">
      <c r="A139" s="4" t="s">
        <v>216</v>
      </c>
      <c r="B139" s="5"/>
      <c r="C139" s="79">
        <f>SUM(-C132/D132)</f>
        <v>32.066904657257766</v>
      </c>
    </row>
    <row r="140" spans="1:13">
      <c r="A140" s="18" t="s">
        <v>217</v>
      </c>
      <c r="B140" s="23"/>
      <c r="C140" s="80">
        <f>SUM(M133)</f>
        <v>-4225528.5568000004</v>
      </c>
    </row>
    <row r="145" spans="1:13" ht="28.35">
      <c r="A145" s="27" t="s">
        <v>218</v>
      </c>
    </row>
    <row r="146" spans="1:13">
      <c r="A146" s="7" t="s">
        <v>187</v>
      </c>
    </row>
    <row r="147" spans="1:13">
      <c r="A147" s="7"/>
    </row>
    <row r="148" spans="1:13" s="62" customFormat="1">
      <c r="A148" s="59"/>
      <c r="B148" s="60"/>
      <c r="C148" s="60" t="s">
        <v>188</v>
      </c>
      <c r="D148" s="60" t="s">
        <v>189</v>
      </c>
      <c r="E148" s="60" t="s">
        <v>190</v>
      </c>
      <c r="F148" s="60" t="s">
        <v>191</v>
      </c>
      <c r="G148" s="60" t="s">
        <v>192</v>
      </c>
      <c r="H148" s="60" t="s">
        <v>193</v>
      </c>
      <c r="I148" s="60" t="s">
        <v>194</v>
      </c>
      <c r="J148" s="60" t="s">
        <v>195</v>
      </c>
      <c r="K148" s="60" t="s">
        <v>196</v>
      </c>
      <c r="L148" s="60" t="s">
        <v>197</v>
      </c>
      <c r="M148" s="61" t="s">
        <v>198</v>
      </c>
    </row>
    <row r="149" spans="1:13">
      <c r="A149" s="15" t="s">
        <v>199</v>
      </c>
      <c r="B149" s="63"/>
      <c r="C149" s="63"/>
      <c r="D149" s="63">
        <f>SUM(I150:I155)</f>
        <v>1204570.56</v>
      </c>
      <c r="E149" s="63">
        <f t="shared" ref="E149:M154" si="6">D149</f>
        <v>1204570.56</v>
      </c>
      <c r="F149" s="63">
        <f t="shared" si="6"/>
        <v>1204570.56</v>
      </c>
      <c r="G149" s="63">
        <f t="shared" si="6"/>
        <v>1204570.56</v>
      </c>
      <c r="H149" s="63">
        <f t="shared" si="6"/>
        <v>1204570.56</v>
      </c>
      <c r="I149" s="63">
        <f t="shared" si="6"/>
        <v>1204570.56</v>
      </c>
      <c r="J149" s="63">
        <f t="shared" si="6"/>
        <v>1204570.56</v>
      </c>
      <c r="K149" s="63">
        <f t="shared" si="6"/>
        <v>1204570.56</v>
      </c>
      <c r="L149" s="63">
        <f t="shared" si="6"/>
        <v>1204570.56</v>
      </c>
      <c r="M149" s="64">
        <f t="shared" si="6"/>
        <v>1204570.56</v>
      </c>
    </row>
    <row r="150" spans="1:13">
      <c r="A150" s="65" t="s">
        <v>150</v>
      </c>
      <c r="D150" s="66">
        <f>-SUM(I71)</f>
        <v>-45000</v>
      </c>
      <c r="E150" s="66">
        <f t="shared" si="6"/>
        <v>-45000</v>
      </c>
      <c r="F150" s="66">
        <f t="shared" si="6"/>
        <v>-45000</v>
      </c>
      <c r="G150" s="66">
        <f t="shared" si="6"/>
        <v>-45000</v>
      </c>
      <c r="H150" s="66">
        <f t="shared" si="6"/>
        <v>-45000</v>
      </c>
      <c r="I150" s="66">
        <f t="shared" si="6"/>
        <v>-45000</v>
      </c>
      <c r="J150" s="66">
        <f t="shared" si="6"/>
        <v>-45000</v>
      </c>
      <c r="K150" s="66">
        <f t="shared" si="6"/>
        <v>-45000</v>
      </c>
      <c r="L150" s="66">
        <f t="shared" si="6"/>
        <v>-45000</v>
      </c>
      <c r="M150" s="67">
        <f t="shared" si="6"/>
        <v>-45000</v>
      </c>
    </row>
    <row r="151" spans="1:13">
      <c r="A151" s="65" t="s">
        <v>200</v>
      </c>
      <c r="D151" s="66">
        <f>-SUM(I78:I80)</f>
        <v>-115000</v>
      </c>
      <c r="E151" s="66">
        <f t="shared" si="6"/>
        <v>-115000</v>
      </c>
      <c r="F151" s="66">
        <f t="shared" si="6"/>
        <v>-115000</v>
      </c>
      <c r="G151" s="66">
        <f t="shared" si="6"/>
        <v>-115000</v>
      </c>
      <c r="H151" s="66">
        <f t="shared" si="6"/>
        <v>-115000</v>
      </c>
      <c r="I151" s="66">
        <f t="shared" si="6"/>
        <v>-115000</v>
      </c>
      <c r="J151" s="66">
        <f t="shared" si="6"/>
        <v>-115000</v>
      </c>
      <c r="K151" s="66">
        <f t="shared" si="6"/>
        <v>-115000</v>
      </c>
      <c r="L151" s="66">
        <f t="shared" si="6"/>
        <v>-115000</v>
      </c>
      <c r="M151" s="67">
        <f t="shared" si="6"/>
        <v>-115000</v>
      </c>
    </row>
    <row r="152" spans="1:13">
      <c r="A152" s="65" t="s">
        <v>183</v>
      </c>
      <c r="D152" s="66">
        <f>-SUM(I89)</f>
        <v>-5000</v>
      </c>
      <c r="E152" s="66">
        <f t="shared" si="6"/>
        <v>-5000</v>
      </c>
      <c r="F152" s="66">
        <f t="shared" si="6"/>
        <v>-5000</v>
      </c>
      <c r="G152" s="66">
        <f t="shared" si="6"/>
        <v>-5000</v>
      </c>
      <c r="H152" s="66">
        <f t="shared" si="6"/>
        <v>-5000</v>
      </c>
      <c r="I152" s="66">
        <f t="shared" si="6"/>
        <v>-5000</v>
      </c>
      <c r="J152" s="66">
        <f t="shared" si="6"/>
        <v>-5000</v>
      </c>
      <c r="K152" s="66">
        <f t="shared" si="6"/>
        <v>-5000</v>
      </c>
      <c r="L152" s="66">
        <f t="shared" si="6"/>
        <v>-5000</v>
      </c>
      <c r="M152" s="67">
        <f t="shared" si="6"/>
        <v>-5000</v>
      </c>
    </row>
    <row r="153" spans="1:13">
      <c r="A153" s="65" t="s">
        <v>201</v>
      </c>
      <c r="D153" s="66">
        <f>-SUM(I95)</f>
        <v>-15000</v>
      </c>
      <c r="E153" s="66">
        <f t="shared" si="6"/>
        <v>-15000</v>
      </c>
      <c r="F153" s="66">
        <f t="shared" si="6"/>
        <v>-15000</v>
      </c>
      <c r="G153" s="66">
        <f t="shared" si="6"/>
        <v>-15000</v>
      </c>
      <c r="H153" s="66">
        <f t="shared" si="6"/>
        <v>-15000</v>
      </c>
      <c r="I153" s="66">
        <f t="shared" si="6"/>
        <v>-15000</v>
      </c>
      <c r="J153" s="66">
        <f t="shared" si="6"/>
        <v>-15000</v>
      </c>
      <c r="K153" s="66">
        <f t="shared" si="6"/>
        <v>-15000</v>
      </c>
      <c r="L153" s="66">
        <f t="shared" si="6"/>
        <v>-15000</v>
      </c>
      <c r="M153" s="67">
        <f t="shared" si="6"/>
        <v>-15000</v>
      </c>
    </row>
    <row r="154" spans="1:13">
      <c r="A154" s="65" t="s">
        <v>219</v>
      </c>
      <c r="D154" s="66">
        <f>-SUM(I77)</f>
        <v>-1106913.6000000001</v>
      </c>
      <c r="E154" s="66">
        <f>D154</f>
        <v>-1106913.6000000001</v>
      </c>
      <c r="F154" s="66">
        <f t="shared" si="6"/>
        <v>-1106913.6000000001</v>
      </c>
      <c r="G154" s="66">
        <f t="shared" si="6"/>
        <v>-1106913.6000000001</v>
      </c>
      <c r="H154" s="66">
        <f t="shared" si="6"/>
        <v>-1106913.6000000001</v>
      </c>
      <c r="I154" s="66">
        <f t="shared" si="6"/>
        <v>-1106913.6000000001</v>
      </c>
      <c r="J154" s="66">
        <f t="shared" si="6"/>
        <v>-1106913.6000000001</v>
      </c>
      <c r="K154" s="66">
        <f t="shared" si="6"/>
        <v>-1106913.6000000001</v>
      </c>
      <c r="L154" s="66">
        <f t="shared" si="6"/>
        <v>-1106913.6000000001</v>
      </c>
      <c r="M154" s="67">
        <f t="shared" si="6"/>
        <v>-1106913.6000000001</v>
      </c>
    </row>
    <row r="155" spans="1:13">
      <c r="A155" s="65" t="s">
        <v>203</v>
      </c>
      <c r="D155" s="66">
        <f>SUM(D157*H8)</f>
        <v>2491484.1600000001</v>
      </c>
      <c r="E155" s="66">
        <f t="shared" ref="E155:M157" si="7">D155</f>
        <v>2491484.1600000001</v>
      </c>
      <c r="F155" s="66">
        <f t="shared" si="7"/>
        <v>2491484.1600000001</v>
      </c>
      <c r="G155" s="66">
        <f t="shared" si="7"/>
        <v>2491484.1600000001</v>
      </c>
      <c r="H155" s="66">
        <f t="shared" si="7"/>
        <v>2491484.1600000001</v>
      </c>
      <c r="I155" s="66">
        <f t="shared" si="7"/>
        <v>2491484.1600000001</v>
      </c>
      <c r="J155" s="66">
        <f t="shared" si="7"/>
        <v>2491484.1600000001</v>
      </c>
      <c r="K155" s="66">
        <f t="shared" si="7"/>
        <v>2491484.1600000001</v>
      </c>
      <c r="L155" s="66">
        <f t="shared" si="7"/>
        <v>2491484.1600000001</v>
      </c>
      <c r="M155" s="67">
        <f t="shared" si="7"/>
        <v>2491484.1600000001</v>
      </c>
    </row>
    <row r="156" spans="1:13">
      <c r="A156" s="65" t="s">
        <v>204</v>
      </c>
      <c r="C156" s="72"/>
      <c r="D156" s="72">
        <f>SUM(H9*D158)</f>
        <v>896467.14432000008</v>
      </c>
      <c r="E156" s="72">
        <f>D156</f>
        <v>896467.14432000008</v>
      </c>
      <c r="F156" s="72">
        <f t="shared" si="7"/>
        <v>896467.14432000008</v>
      </c>
      <c r="G156" s="72">
        <f t="shared" si="7"/>
        <v>896467.14432000008</v>
      </c>
      <c r="H156" s="72">
        <f t="shared" si="7"/>
        <v>896467.14432000008</v>
      </c>
      <c r="I156" s="72">
        <f t="shared" si="7"/>
        <v>896467.14432000008</v>
      </c>
      <c r="J156" s="72">
        <f t="shared" si="7"/>
        <v>896467.14432000008</v>
      </c>
      <c r="K156" s="72">
        <f t="shared" si="7"/>
        <v>896467.14432000008</v>
      </c>
      <c r="L156" s="72">
        <f t="shared" si="7"/>
        <v>896467.14432000008</v>
      </c>
      <c r="M156" s="73">
        <f t="shared" si="7"/>
        <v>896467.14432000008</v>
      </c>
    </row>
    <row r="157" spans="1:13">
      <c r="A157" s="68" t="s">
        <v>205</v>
      </c>
      <c r="B157" s="69"/>
      <c r="C157" s="69"/>
      <c r="D157" s="70">
        <f>SUM(1111*8760*8/1000)</f>
        <v>77858.880000000005</v>
      </c>
      <c r="E157" s="70">
        <f t="shared" si="7"/>
        <v>77858.880000000005</v>
      </c>
      <c r="F157" s="70">
        <f t="shared" si="7"/>
        <v>77858.880000000005</v>
      </c>
      <c r="G157" s="70">
        <f t="shared" si="7"/>
        <v>77858.880000000005</v>
      </c>
      <c r="H157" s="70">
        <f t="shared" si="7"/>
        <v>77858.880000000005</v>
      </c>
      <c r="I157" s="70">
        <f t="shared" si="7"/>
        <v>77858.880000000005</v>
      </c>
      <c r="J157" s="70">
        <f t="shared" si="7"/>
        <v>77858.880000000005</v>
      </c>
      <c r="K157" s="70">
        <f t="shared" si="7"/>
        <v>77858.880000000005</v>
      </c>
      <c r="L157" s="70">
        <f t="shared" si="7"/>
        <v>77858.880000000005</v>
      </c>
      <c r="M157" s="71">
        <f t="shared" si="7"/>
        <v>77858.880000000005</v>
      </c>
    </row>
    <row r="158" spans="1:13">
      <c r="A158" s="68" t="s">
        <v>206</v>
      </c>
      <c r="B158" s="69"/>
      <c r="C158" s="69"/>
      <c r="D158" s="70">
        <f>SUM(D157*0.202)</f>
        <v>15727.493760000001</v>
      </c>
      <c r="E158" s="70">
        <f t="shared" ref="E158:M158" si="8">SUM(E157*0.202)</f>
        <v>15727.493760000001</v>
      </c>
      <c r="F158" s="70">
        <f t="shared" si="8"/>
        <v>15727.493760000001</v>
      </c>
      <c r="G158" s="70">
        <f t="shared" si="8"/>
        <v>15727.493760000001</v>
      </c>
      <c r="H158" s="70">
        <f t="shared" si="8"/>
        <v>15727.493760000001</v>
      </c>
      <c r="I158" s="70">
        <f t="shared" si="8"/>
        <v>15727.493760000001</v>
      </c>
      <c r="J158" s="70">
        <f t="shared" si="8"/>
        <v>15727.493760000001</v>
      </c>
      <c r="K158" s="70">
        <f t="shared" si="8"/>
        <v>15727.493760000001</v>
      </c>
      <c r="L158" s="70">
        <f t="shared" si="8"/>
        <v>15727.493760000001</v>
      </c>
      <c r="M158" s="71">
        <f t="shared" si="8"/>
        <v>15727.493760000001</v>
      </c>
    </row>
    <row r="159" spans="1:13">
      <c r="A159" s="15" t="s">
        <v>207</v>
      </c>
      <c r="B159" s="63"/>
      <c r="C159" s="63">
        <f>SUM(C160:C163)</f>
        <v>-5242000</v>
      </c>
      <c r="D159" s="63">
        <v>0</v>
      </c>
      <c r="E159" s="63">
        <v>0</v>
      </c>
      <c r="F159" s="63">
        <v>0</v>
      </c>
      <c r="G159" s="63">
        <v>0</v>
      </c>
      <c r="H159" s="63">
        <v>0</v>
      </c>
      <c r="I159" s="63">
        <v>0</v>
      </c>
      <c r="J159" s="63">
        <v>0</v>
      </c>
      <c r="K159" s="63">
        <v>0</v>
      </c>
      <c r="L159" s="63">
        <v>0</v>
      </c>
      <c r="M159" s="64">
        <v>0</v>
      </c>
    </row>
    <row r="160" spans="1:13">
      <c r="A160" s="65" t="s">
        <v>150</v>
      </c>
      <c r="C160" s="66">
        <f>-SUM(I59)</f>
        <v>-272000</v>
      </c>
      <c r="D160" s="72"/>
      <c r="E160" s="72"/>
      <c r="F160" s="72"/>
      <c r="G160" s="72"/>
      <c r="H160" s="72"/>
      <c r="I160" s="72"/>
      <c r="J160" s="72"/>
      <c r="K160" s="72"/>
      <c r="L160" s="72"/>
      <c r="M160" s="73"/>
    </row>
    <row r="161" spans="1:13">
      <c r="A161" s="65" t="s">
        <v>208</v>
      </c>
      <c r="C161" s="66">
        <f>-SUM(I60)</f>
        <v>-4680000</v>
      </c>
      <c r="D161" s="72"/>
      <c r="E161" s="72"/>
      <c r="F161" s="72"/>
      <c r="G161" s="72"/>
      <c r="H161" s="72"/>
      <c r="I161" s="72"/>
      <c r="J161" s="72"/>
      <c r="K161" s="72"/>
      <c r="L161" s="72"/>
      <c r="M161" s="73"/>
    </row>
    <row r="162" spans="1:13">
      <c r="A162" s="65" t="s">
        <v>153</v>
      </c>
      <c r="C162" s="66">
        <f>-SUM(I61)</f>
        <v>-250000</v>
      </c>
      <c r="D162" s="72"/>
      <c r="E162" s="72"/>
      <c r="F162" s="72"/>
      <c r="G162" s="72"/>
      <c r="H162" s="72"/>
      <c r="I162" s="72"/>
      <c r="J162" s="72"/>
      <c r="K162" s="72"/>
      <c r="L162" s="72"/>
      <c r="M162" s="73"/>
    </row>
    <row r="163" spans="1:13">
      <c r="A163" s="65" t="s">
        <v>209</v>
      </c>
      <c r="C163" s="66">
        <f>-SUM(I52)</f>
        <v>-40000</v>
      </c>
      <c r="D163" s="72"/>
      <c r="E163" s="72"/>
      <c r="F163" s="72"/>
      <c r="G163" s="72"/>
      <c r="H163" s="72"/>
      <c r="I163" s="72"/>
      <c r="J163" s="72"/>
      <c r="K163" s="72"/>
      <c r="L163" s="72"/>
      <c r="M163" s="73"/>
    </row>
    <row r="164" spans="1:13" s="58" customFormat="1">
      <c r="A164" s="15" t="s">
        <v>210</v>
      </c>
      <c r="B164" s="74"/>
      <c r="C164" s="63">
        <f>SUM(C165:C166)</f>
        <v>-1572600</v>
      </c>
      <c r="D164" s="63">
        <f t="shared" ref="D164:M164" si="9">SUM(D165:D166)</f>
        <v>0</v>
      </c>
      <c r="E164" s="63">
        <f t="shared" si="9"/>
        <v>0</v>
      </c>
      <c r="F164" s="63">
        <f t="shared" si="9"/>
        <v>0</v>
      </c>
      <c r="G164" s="63">
        <f t="shared" si="9"/>
        <v>0</v>
      </c>
      <c r="H164" s="63">
        <f t="shared" si="9"/>
        <v>0</v>
      </c>
      <c r="I164" s="63">
        <f t="shared" si="9"/>
        <v>0</v>
      </c>
      <c r="J164" s="63">
        <f t="shared" si="9"/>
        <v>0</v>
      </c>
      <c r="K164" s="63">
        <f t="shared" si="9"/>
        <v>0</v>
      </c>
      <c r="L164" s="63">
        <f t="shared" si="9"/>
        <v>0</v>
      </c>
      <c r="M164" s="63">
        <f t="shared" si="9"/>
        <v>0</v>
      </c>
    </row>
    <row r="165" spans="1:13">
      <c r="A165" s="65" t="s">
        <v>211</v>
      </c>
      <c r="C165" s="72">
        <f>SUM(C159*H10)</f>
        <v>-1572600</v>
      </c>
      <c r="D165" s="72"/>
      <c r="E165" s="72"/>
      <c r="F165" s="72"/>
      <c r="G165" s="72"/>
      <c r="H165" s="72"/>
      <c r="I165" s="72"/>
      <c r="J165" s="72"/>
      <c r="K165" s="72"/>
      <c r="L165" s="72"/>
      <c r="M165" s="73"/>
    </row>
    <row r="166" spans="1:13">
      <c r="A166" s="65" t="s">
        <v>212</v>
      </c>
      <c r="C166" s="72"/>
      <c r="D166" s="72">
        <f>SUM(H11*D158)</f>
        <v>0</v>
      </c>
      <c r="E166" s="72">
        <f>D166</f>
        <v>0</v>
      </c>
      <c r="F166" s="72">
        <f t="shared" ref="F166" si="10">E166</f>
        <v>0</v>
      </c>
      <c r="G166" s="72">
        <f t="shared" ref="G166" si="11">F166</f>
        <v>0</v>
      </c>
      <c r="H166" s="72">
        <f t="shared" ref="H166" si="12">G166</f>
        <v>0</v>
      </c>
      <c r="I166" s="72">
        <f t="shared" ref="I166" si="13">H166</f>
        <v>0</v>
      </c>
      <c r="J166" s="72">
        <f t="shared" ref="J166" si="14">I166</f>
        <v>0</v>
      </c>
      <c r="K166" s="72">
        <f t="shared" ref="K166" si="15">J166</f>
        <v>0</v>
      </c>
      <c r="L166" s="72">
        <f t="shared" ref="L166" si="16">K166</f>
        <v>0</v>
      </c>
      <c r="M166" s="73">
        <f t="shared" ref="M166" si="17">L166</f>
        <v>0</v>
      </c>
    </row>
    <row r="167" spans="1:13">
      <c r="A167" s="15" t="s">
        <v>213</v>
      </c>
      <c r="B167" s="9"/>
      <c r="C167" s="75">
        <f>SUM(C159-C165)</f>
        <v>-3669400</v>
      </c>
      <c r="D167" s="75">
        <f t="shared" ref="D167:M167" si="18">SUM(D159+D149+D166)</f>
        <v>1204570.56</v>
      </c>
      <c r="E167" s="75">
        <f t="shared" si="18"/>
        <v>1204570.56</v>
      </c>
      <c r="F167" s="75">
        <f t="shared" si="18"/>
        <v>1204570.56</v>
      </c>
      <c r="G167" s="75">
        <f t="shared" si="18"/>
        <v>1204570.56</v>
      </c>
      <c r="H167" s="75">
        <f t="shared" si="18"/>
        <v>1204570.56</v>
      </c>
      <c r="I167" s="75">
        <f t="shared" si="18"/>
        <v>1204570.56</v>
      </c>
      <c r="J167" s="75">
        <f t="shared" si="18"/>
        <v>1204570.56</v>
      </c>
      <c r="K167" s="75">
        <f t="shared" si="18"/>
        <v>1204570.56</v>
      </c>
      <c r="L167" s="75">
        <f t="shared" si="18"/>
        <v>1204570.56</v>
      </c>
      <c r="M167" s="76">
        <f t="shared" si="18"/>
        <v>1204570.56</v>
      </c>
    </row>
    <row r="168" spans="1:13">
      <c r="A168" s="18" t="s">
        <v>214</v>
      </c>
      <c r="B168" s="23"/>
      <c r="C168" s="77">
        <f>SUM(C167)</f>
        <v>-3669400</v>
      </c>
      <c r="D168" s="77">
        <f>SUM(C168+D167)</f>
        <v>-2464829.4399999999</v>
      </c>
      <c r="E168" s="77">
        <f t="shared" ref="E168:M168" si="19">SUM(D168+E167)</f>
        <v>-1260258.8799999999</v>
      </c>
      <c r="F168" s="77">
        <f t="shared" si="19"/>
        <v>-55688.319999999832</v>
      </c>
      <c r="G168" s="77">
        <f t="shared" si="19"/>
        <v>1148882.2400000002</v>
      </c>
      <c r="H168" s="77">
        <f t="shared" si="19"/>
        <v>2353452.8000000003</v>
      </c>
      <c r="I168" s="77">
        <f t="shared" si="19"/>
        <v>3558023.3600000003</v>
      </c>
      <c r="J168" s="77">
        <f t="shared" si="19"/>
        <v>4762593.92</v>
      </c>
      <c r="K168" s="77">
        <f t="shared" si="19"/>
        <v>5967164.4800000004</v>
      </c>
      <c r="L168" s="77">
        <f t="shared" si="19"/>
        <v>7171735.040000001</v>
      </c>
      <c r="M168" s="78">
        <f t="shared" si="19"/>
        <v>8376305.6000000015</v>
      </c>
    </row>
    <row r="172" spans="1:13" ht="28.35">
      <c r="A172" s="27" t="s">
        <v>220</v>
      </c>
    </row>
    <row r="174" spans="1:13">
      <c r="A174" s="4" t="s">
        <v>216</v>
      </c>
      <c r="B174" s="5"/>
      <c r="C174" s="79">
        <f>SUM(-C167/D167)</f>
        <v>3.046230849274616</v>
      </c>
    </row>
    <row r="175" spans="1:13">
      <c r="A175" s="18" t="s">
        <v>217</v>
      </c>
      <c r="B175" s="23"/>
      <c r="C175" s="80">
        <f>SUM(M168)</f>
        <v>8376305.6000000015</v>
      </c>
    </row>
  </sheetData>
  <mergeCells count="84">
    <mergeCell ref="A106:B106"/>
    <mergeCell ref="F106:G106"/>
    <mergeCell ref="F51:G51"/>
    <mergeCell ref="F53:G53"/>
    <mergeCell ref="A103:C103"/>
    <mergeCell ref="F103:H103"/>
    <mergeCell ref="A104:B104"/>
    <mergeCell ref="F104:G104"/>
    <mergeCell ref="A105:C105"/>
    <mergeCell ref="F105:H105"/>
    <mergeCell ref="A95:B95"/>
    <mergeCell ref="F95:G95"/>
    <mergeCell ref="A96:B96"/>
    <mergeCell ref="F96:G96"/>
    <mergeCell ref="A102:B102"/>
    <mergeCell ref="F102:G102"/>
    <mergeCell ref="A82:B82"/>
    <mergeCell ref="F81:G81"/>
    <mergeCell ref="A88:B88"/>
    <mergeCell ref="F88:G88"/>
    <mergeCell ref="A89:B89"/>
    <mergeCell ref="F89:G89"/>
    <mergeCell ref="A79:B79"/>
    <mergeCell ref="F78:G78"/>
    <mergeCell ref="A80:B80"/>
    <mergeCell ref="F79:G79"/>
    <mergeCell ref="A81:B81"/>
    <mergeCell ref="F80:G80"/>
    <mergeCell ref="A70:B70"/>
    <mergeCell ref="F70:G70"/>
    <mergeCell ref="A71:B71"/>
    <mergeCell ref="F71:G71"/>
    <mergeCell ref="A77:B77"/>
    <mergeCell ref="F77:G77"/>
    <mergeCell ref="A62:C62"/>
    <mergeCell ref="F62:H62"/>
    <mergeCell ref="A63:C63"/>
    <mergeCell ref="F63:H63"/>
    <mergeCell ref="A69:B69"/>
    <mergeCell ref="F69:G69"/>
    <mergeCell ref="A43:B43"/>
    <mergeCell ref="F43:G43"/>
    <mergeCell ref="A61:C61"/>
    <mergeCell ref="F61:H61"/>
    <mergeCell ref="A44:B44"/>
    <mergeCell ref="F44:G44"/>
    <mergeCell ref="A50:B50"/>
    <mergeCell ref="F50:G50"/>
    <mergeCell ref="A52:B52"/>
    <mergeCell ref="A59:C59"/>
    <mergeCell ref="F59:H59"/>
    <mergeCell ref="A60:C60"/>
    <mergeCell ref="F60:H60"/>
    <mergeCell ref="A35:B35"/>
    <mergeCell ref="F35:G35"/>
    <mergeCell ref="A36:B36"/>
    <mergeCell ref="F36:G36"/>
    <mergeCell ref="A42:B42"/>
    <mergeCell ref="F42:G42"/>
    <mergeCell ref="A32:B32"/>
    <mergeCell ref="F32:G32"/>
    <mergeCell ref="A33:B33"/>
    <mergeCell ref="F33:G33"/>
    <mergeCell ref="A34:B34"/>
    <mergeCell ref="F34:G34"/>
    <mergeCell ref="A24:B24"/>
    <mergeCell ref="F24:G24"/>
    <mergeCell ref="A25:B25"/>
    <mergeCell ref="F25:G25"/>
    <mergeCell ref="A26:B26"/>
    <mergeCell ref="F26:G26"/>
    <mergeCell ref="A20:B20"/>
    <mergeCell ref="F20:G20"/>
    <mergeCell ref="A21:B21"/>
    <mergeCell ref="F21:G21"/>
    <mergeCell ref="A23:C23"/>
    <mergeCell ref="F23:H23"/>
    <mergeCell ref="A22:B22"/>
    <mergeCell ref="F22:G22"/>
    <mergeCell ref="F1:H1"/>
    <mergeCell ref="A18:B18"/>
    <mergeCell ref="F18:G18"/>
    <mergeCell ref="A19:B19"/>
    <mergeCell ref="F19:G19"/>
  </mergeCells>
  <hyperlinks>
    <hyperlink ref="Z20" r:id="rId1" xr:uid="{6EAF66B8-AD8E-4572-87A0-6712778CDA9C}"/>
  </hyperlinks>
  <pageMargins left="0.7" right="0.7" top="0.75" bottom="0.75" header="0.3" footer="0.3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0C822F-B8D1-430D-A7C1-014F1E93E2D7}">
          <x14:formula1>
            <xm:f>Introduction!$A$24:$A$29</xm:f>
          </x14:formula1>
          <xm:sqref>F1:H1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0B5C1-5CA1-44C2-BC18-F4321AB86D46}">
  <dimension ref="A2"/>
  <sheetViews>
    <sheetView topLeftCell="A15" workbookViewId="0">
      <selection activeCell="A3" sqref="A3"/>
    </sheetView>
  </sheetViews>
  <sheetFormatPr defaultColWidth="9.28515625" defaultRowHeight="14.65"/>
  <cols>
    <col min="1" max="16384" width="9.28515625" style="81"/>
  </cols>
  <sheetData>
    <row r="2" spans="1:1" ht="33.4">
      <c r="A2" s="1" t="s">
        <v>221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42E09C39981B54BB830E1F081C86A25" ma:contentTypeVersion="11" ma:contentTypeDescription="Create a new document." ma:contentTypeScope="" ma:versionID="234c582f117e5772f7c0b054bee36c91">
  <xsd:schema xmlns:xsd="http://www.w3.org/2001/XMLSchema" xmlns:xs="http://www.w3.org/2001/XMLSchema" xmlns:p="http://schemas.microsoft.com/office/2006/metadata/properties" xmlns:ns1="http://schemas.microsoft.com/sharepoint/v3" xmlns:ns2="54e8acca-44f9-4eed-b2ee-136d146ad825" targetNamespace="http://schemas.microsoft.com/office/2006/metadata/properties" ma:root="true" ma:fieldsID="ee46b74fbf6ddcf72274b00ef8da8331" ns1:_="" ns2:_="">
    <xsd:import namespace="http://schemas.microsoft.com/sharepoint/v3"/>
    <xsd:import namespace="54e8acca-44f9-4eed-b2ee-136d146ad8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1:_ip_UnifiedCompliancePolicyProperties" minOccurs="0"/>
                <xsd:element ref="ns1:_ip_UnifiedCompliancePolicyUIAction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e8acca-44f9-4eed-b2ee-136d146ad8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6E32CE58-397E-449D-AF81-FE697B01FAF3}"/>
</file>

<file path=customXml/itemProps2.xml><?xml version="1.0" encoding="utf-8"?>
<ds:datastoreItem xmlns:ds="http://schemas.openxmlformats.org/officeDocument/2006/customXml" ds:itemID="{A1C5696B-7AE7-4283-9B20-FECE7AC4E838}"/>
</file>

<file path=customXml/itemProps3.xml><?xml version="1.0" encoding="utf-8"?>
<ds:datastoreItem xmlns:ds="http://schemas.openxmlformats.org/officeDocument/2006/customXml" ds:itemID="{B4AEE058-C688-4B4E-9D81-44B8A963F3F8}"/>
</file>

<file path=docMetadata/LabelInfo.xml><?xml version="1.0" encoding="utf-8"?>
<clbl:labelList xmlns:clbl="http://schemas.microsoft.com/office/2020/mipLabelMetadata">
  <clbl:label id="{1a19d03a-48bc-4359-8038-5b5f6d5847c3}" enabled="1" method="Standar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Petter Terenius</dc:creator>
  <cp:keywords/>
  <dc:description/>
  <cp:lastModifiedBy>Danrong Zhang</cp:lastModifiedBy>
  <cp:revision/>
  <dcterms:created xsi:type="dcterms:W3CDTF">2025-08-09T17:13:03Z</dcterms:created>
  <dcterms:modified xsi:type="dcterms:W3CDTF">2025-12-26T23:02:32Z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0x010100142E09C39981B54BB830E1F081C86A25</vt:lpwstr>
  </property>
</Properties>
</file>