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https://uravulab-my.sharepoint.com/personal/rishabh_srivastava_uravulabs_com/Documents/URAVU/Main results/microsoft data center project/executive summary/"/>
    </mc:Choice>
  </mc:AlternateContent>
  <xr:revisionPtr revIDLastSave="33" documentId="8_{E30F9FAB-3E3C-42A4-883A-FAE43CEA66D0}" xr6:coauthVersionLast="47" xr6:coauthVersionMax="47" xr10:uidLastSave="{4DC15A2B-68FE-4673-A61E-B4F342597FB1}"/>
  <bookViews>
    <workbookView xWindow="-108" yWindow="-108" windowWidth="23256" windowHeight="12456" firstSheet="2" activeTab="1" xr2:uid="{00000000-000D-0000-FFFF-FFFF00000000}"/>
  </bookViews>
  <sheets>
    <sheet name="Phoenix" sheetId="1" r:id="rId1"/>
    <sheet name="Frankfurt" sheetId="2" r:id="rId2"/>
    <sheet name="Bengaluru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C7" i="3"/>
  <c r="B7" i="3"/>
  <c r="C7" i="2"/>
  <c r="D7" i="2"/>
  <c r="B7" i="2"/>
  <c r="C7" i="1"/>
  <c r="D7" i="1"/>
  <c r="B7" i="1"/>
  <c r="D46" i="3"/>
  <c r="C46" i="3"/>
  <c r="B46" i="3"/>
  <c r="D46" i="2"/>
  <c r="C46" i="2"/>
  <c r="B46" i="2"/>
  <c r="C46" i="1"/>
  <c r="D46" i="1"/>
  <c r="B46" i="1"/>
  <c r="D38" i="3"/>
  <c r="C38" i="3"/>
  <c r="B38" i="3"/>
  <c r="D37" i="3"/>
  <c r="C37" i="3"/>
  <c r="B37" i="3"/>
  <c r="D38" i="2"/>
  <c r="C38" i="2"/>
  <c r="B38" i="2"/>
  <c r="D37" i="2"/>
  <c r="C37" i="2"/>
  <c r="B37" i="2"/>
  <c r="C38" i="1"/>
  <c r="D38" i="1"/>
  <c r="B38" i="1"/>
  <c r="C37" i="1"/>
  <c r="D37" i="1"/>
  <c r="B37" i="1"/>
  <c r="D40" i="3"/>
  <c r="C40" i="3"/>
  <c r="B40" i="3"/>
  <c r="D39" i="3"/>
  <c r="C39" i="3"/>
  <c r="B39" i="3"/>
  <c r="D49" i="3"/>
  <c r="D41" i="3"/>
  <c r="C41" i="3"/>
  <c r="D34" i="3"/>
  <c r="C34" i="3"/>
  <c r="B34" i="3"/>
  <c r="D27" i="3"/>
  <c r="C27" i="3"/>
  <c r="B27" i="3"/>
  <c r="B41" i="3" s="1"/>
  <c r="D19" i="3"/>
  <c r="C19" i="3"/>
  <c r="B19" i="3"/>
  <c r="D18" i="3"/>
  <c r="C18" i="3"/>
  <c r="B18" i="3"/>
  <c r="D17" i="3"/>
  <c r="C17" i="3"/>
  <c r="D16" i="3"/>
  <c r="C16" i="3"/>
  <c r="D8" i="3"/>
  <c r="C8" i="3"/>
  <c r="B8" i="3"/>
  <c r="D6" i="3"/>
  <c r="C6" i="3"/>
  <c r="B6" i="3"/>
  <c r="D40" i="2"/>
  <c r="C40" i="2"/>
  <c r="B40" i="2"/>
  <c r="D39" i="2"/>
  <c r="C39" i="2"/>
  <c r="B39" i="2"/>
  <c r="B49" i="2"/>
  <c r="D41" i="2"/>
  <c r="B41" i="2"/>
  <c r="D34" i="2"/>
  <c r="C34" i="2"/>
  <c r="B34" i="2"/>
  <c r="D27" i="2"/>
  <c r="C27" i="2"/>
  <c r="C41" i="2" s="1"/>
  <c r="B27" i="2"/>
  <c r="D19" i="2"/>
  <c r="C19" i="2"/>
  <c r="B19" i="2"/>
  <c r="D18" i="2"/>
  <c r="C18" i="2"/>
  <c r="B18" i="2"/>
  <c r="D17" i="2"/>
  <c r="C17" i="2"/>
  <c r="B17" i="2"/>
  <c r="D16" i="2"/>
  <c r="C16" i="2"/>
  <c r="B16" i="2"/>
  <c r="D8" i="2"/>
  <c r="C8" i="2"/>
  <c r="B8" i="2"/>
  <c r="D6" i="2"/>
  <c r="C6" i="2"/>
  <c r="B6" i="2"/>
  <c r="C40" i="1"/>
  <c r="D40" i="1"/>
  <c r="B40" i="1"/>
  <c r="C39" i="1"/>
  <c r="D39" i="1"/>
  <c r="B39" i="1"/>
  <c r="C34" i="1"/>
  <c r="D34" i="1"/>
  <c r="B34" i="1"/>
  <c r="C27" i="1"/>
  <c r="D27" i="1"/>
  <c r="B27" i="1"/>
  <c r="C19" i="1"/>
  <c r="D19" i="1"/>
  <c r="B19" i="1"/>
  <c r="C18" i="1"/>
  <c r="D18" i="1"/>
  <c r="B18" i="1"/>
  <c r="C17" i="1"/>
  <c r="D17" i="1"/>
  <c r="B17" i="1"/>
  <c r="C16" i="1"/>
  <c r="D16" i="1"/>
  <c r="B16" i="1"/>
  <c r="C8" i="1"/>
  <c r="D8" i="1"/>
  <c r="B8" i="1"/>
  <c r="C6" i="1"/>
  <c r="D6" i="1"/>
  <c r="B6" i="1"/>
  <c r="B54" i="3"/>
  <c r="B24" i="1"/>
  <c r="D54" i="3"/>
  <c r="C54" i="3"/>
  <c r="D54" i="2"/>
  <c r="C54" i="2"/>
  <c r="B54" i="2"/>
  <c r="C54" i="1"/>
  <c r="D54" i="1"/>
  <c r="B24" i="2"/>
  <c r="C24" i="2"/>
  <c r="D24" i="2"/>
  <c r="C24" i="3"/>
  <c r="D24" i="3"/>
  <c r="B54" i="1"/>
  <c r="D47" i="3" l="1"/>
  <c r="D48" i="3" s="1"/>
  <c r="D50" i="3" s="1"/>
  <c r="B47" i="2"/>
  <c r="B48" i="2" s="1"/>
  <c r="B50" i="2" s="1"/>
  <c r="D26" i="3"/>
  <c r="C49" i="3"/>
  <c r="B49" i="3"/>
  <c r="C26" i="3"/>
  <c r="D49" i="2"/>
  <c r="D26" i="2"/>
  <c r="C49" i="2"/>
  <c r="C26" i="2"/>
  <c r="B26" i="2"/>
  <c r="C47" i="3" l="1"/>
  <c r="C48" i="3" s="1"/>
  <c r="C50" i="3" s="1"/>
  <c r="B47" i="3"/>
  <c r="B48" i="3" s="1"/>
  <c r="B50" i="3" s="1"/>
  <c r="C47" i="2"/>
  <c r="C48" i="2" s="1"/>
  <c r="C50" i="2" s="1"/>
  <c r="D47" i="2"/>
  <c r="D48" i="2" s="1"/>
  <c r="D50" i="2" s="1"/>
  <c r="C24" i="1"/>
  <c r="C26" i="1" s="1"/>
  <c r="D24" i="1"/>
  <c r="D26" i="1" s="1"/>
  <c r="B26" i="1" l="1"/>
  <c r="D49" i="1" l="1"/>
  <c r="D47" i="1"/>
  <c r="D48" i="1" s="1"/>
  <c r="D41" i="1"/>
  <c r="C49" i="1"/>
  <c r="C47" i="1"/>
  <c r="C48" i="1" s="1"/>
  <c r="C41" i="1"/>
  <c r="B49" i="1"/>
  <c r="C50" i="1" l="1"/>
  <c r="D50" i="1"/>
  <c r="B41" i="1"/>
  <c r="B47" i="1"/>
  <c r="B48" i="1" s="1"/>
  <c r="B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tc={EF10AA84-4293-404A-AA1B-3DAA3140633F}</author>
  </authors>
  <commentList>
    <comment ref="B25" authorId="0" shapeId="0" xr:uid="{EF10AA84-4293-404A-AA1B-3DAA314063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to this assumption. How is it greater than standalone power consumption?
Reply:
    The higher chiller energy consumption under part-load operation compared to the stand-alone system is primarily due to increased operating hours. As established earlier, the chiller’s power draw during part-load operation is lower than that of a stand-alone chiller. However, the chiller must also operate during periods of downtime (i.e., when the wet-bulb temperature exceeds the threshold). During these periods, most of the cooling demand is met by the Uravu system—operating as a dry cooler without water production—and by the indirect evaporative cooler when ambient conditions are unsuitable for dry cooling. Consequently, the extended duration of part-load operation results in higher cumulative chiller energy consumption.
It is also important to note that the stand-alone chiller consumption shown in Row 25 corresponds to full-load chiller operation during periods when Uravu is unavailable due to high water usage. Therefore, the total chiller energy consumption in the Uravu-integrated case is the sum of the part-load chiller consumption and the stand-alone (full-load) consumption. Even so, when compared to the baseline chiller operation, this still represents more than an 80% reduction in chiller load.
For example, total electrical consumption of chiller with Uravu = 66704 (row 25 + row 26)
total baseline chiller consumption = 496328 (row 33 X row 19)
total reduction = (496328 - 66704)/496328 = 86 %</t>
      </text>
    </comment>
  </commentList>
</comments>
</file>

<file path=xl/sharedStrings.xml><?xml version="1.0" encoding="utf-8"?>
<sst xmlns="http://schemas.openxmlformats.org/spreadsheetml/2006/main" count="187" uniqueCount="73">
  <si>
    <t>Uravu and Baseline Assumptions</t>
  </si>
  <si>
    <t>Facility water Return Temp (°C)</t>
  </si>
  <si>
    <t>Supply Temp (°C)</t>
  </si>
  <si>
    <t>Electricity cost ($/kWh)</t>
  </si>
  <si>
    <t>Uravu CAPEX ($)</t>
  </si>
  <si>
    <t>Dry cooler CAPEX ($)</t>
  </si>
  <si>
    <t>Air Cooled Chiller CAPEX ($)</t>
  </si>
  <si>
    <t>Uravu Maintenance rate (%)</t>
  </si>
  <si>
    <t>Dry cooler Maintenance rate (%)</t>
  </si>
  <si>
    <t xml:space="preserve">Air Cooled chiller Maintenance rate </t>
  </si>
  <si>
    <t>Amortization period (Yrs)</t>
  </si>
  <si>
    <t>Desgin Capacity (MW)</t>
  </si>
  <si>
    <t>Can Change this number based on the desired capacity</t>
  </si>
  <si>
    <t>Power Consumption per MW</t>
  </si>
  <si>
    <t>Uravu elec. consumption during uptime per MW (kW/MW of cooling load)</t>
  </si>
  <si>
    <t>Uravu elec. consumption during downtime per MW (kW/MW of cooling load)</t>
  </si>
  <si>
    <t>Dry cooler elec. Consumption per MW (kW/MW of cooling load)</t>
  </si>
  <si>
    <t>Chiller elec. Consumption per MW (kW/MW of cooling load)</t>
  </si>
  <si>
    <t>Assuming Standard COP of 3 for Air cooled-chiller</t>
  </si>
  <si>
    <t>Performance metric for Uravu -  blended system</t>
  </si>
  <si>
    <t>Uravu Uptime (hrs/ Yr)</t>
  </si>
  <si>
    <t>Uravu downtime due to WBT (hrs/ Yr)</t>
  </si>
  <si>
    <t>Hours Stand-alone chiller required (hrs)</t>
  </si>
  <si>
    <t>Chiller Elec consumption for part load (kWh)</t>
  </si>
  <si>
    <t>Chiller Elec consumption for stand-alone (kWh)</t>
  </si>
  <si>
    <r>
      <t>Chiller elec. Consumption for stand-alone</t>
    </r>
    <r>
      <rPr>
        <sz val="11"/>
        <color rgb="FF000000"/>
        <rFont val="Cambria"/>
        <family val="1"/>
      </rPr>
      <t xml:space="preserve"> = chiller elec consumption * hours stand-alone chiller required</t>
    </r>
  </si>
  <si>
    <t>Uravu Elec Consumption (MWh)</t>
  </si>
  <si>
    <r>
      <t xml:space="preserve">Uravu Elec consumption = </t>
    </r>
    <r>
      <rPr>
        <sz val="11"/>
        <color rgb="FF000000"/>
        <rFont val="Cambria"/>
        <family val="1"/>
      </rPr>
      <t>Uravu Elec. consumption during uptime * uptime hours + Uravu elec. Consumption during downtime: downtime hours + chiller elec. Consumption for stand-alone + chiller elec consumption for part load</t>
    </r>
  </si>
  <si>
    <r>
      <rPr>
        <b/>
        <sz val="11"/>
        <color rgb="FF000000"/>
        <rFont val="Calibri"/>
      </rPr>
      <t>Gross water production (m</t>
    </r>
    <r>
      <rPr>
        <b/>
        <vertAlign val="superscript"/>
        <sz val="11"/>
        <color rgb="FF000000"/>
        <rFont val="Calibri"/>
      </rPr>
      <t>3</t>
    </r>
    <r>
      <rPr>
        <b/>
        <sz val="11"/>
        <color rgb="FF000000"/>
        <rFont val="Calibri"/>
      </rPr>
      <t>/MW/Yr)</t>
    </r>
  </si>
  <si>
    <r>
      <rPr>
        <b/>
        <sz val="11"/>
        <color rgb="FF000000"/>
        <rFont val="Calibri"/>
      </rPr>
      <t>Net water production  (m</t>
    </r>
    <r>
      <rPr>
        <b/>
        <vertAlign val="superscript"/>
        <sz val="11"/>
        <color rgb="FF000000"/>
        <rFont val="Calibri"/>
      </rPr>
      <t>3</t>
    </r>
    <r>
      <rPr>
        <b/>
        <sz val="11"/>
        <color rgb="FF000000"/>
        <rFont val="Calibri"/>
      </rPr>
      <t>/MW/Yr)</t>
    </r>
  </si>
  <si>
    <t>Baseline configuration</t>
  </si>
  <si>
    <t>Hours Dry cooler sufficient</t>
  </si>
  <si>
    <t>Hours Chiller required</t>
  </si>
  <si>
    <t>Baseline Elec. Consumption (MWh)</t>
  </si>
  <si>
    <r>
      <t xml:space="preserve">Baseline Elec consumption = </t>
    </r>
    <r>
      <rPr>
        <sz val="11"/>
        <color theme="1"/>
        <rFont val="Cambria"/>
        <family val="1"/>
      </rPr>
      <t xml:space="preserve">Hours chiller required *Chiller elec. Consumption per MW + Hours dry cooler sufficient *Dry cooler elec. Consumption per MW </t>
    </r>
  </si>
  <si>
    <t>Economic Analysis for the system</t>
  </si>
  <si>
    <t>LCoC (Levelized cost of Cooling) and NVW (Net Value of Water) Formula</t>
  </si>
  <si>
    <t>LCoC (Uravu-Blended) ($/MWh)</t>
  </si>
  <si>
    <r>
      <rPr>
        <b/>
        <sz val="11"/>
        <color theme="1"/>
        <rFont val="Cambria"/>
        <family val="1"/>
      </rPr>
      <t xml:space="preserve">LCoC (Uravu-blended) </t>
    </r>
    <r>
      <rPr>
        <sz val="11"/>
        <color theme="1"/>
        <rFont val="Cambria"/>
        <family val="1"/>
      </rPr>
      <t>= (Uravu capex ammortized + Uravu maintainance + Chiller capex ammortized + Chiller maintainance + Uravu elec. Consumption * elec. Cost)/8760</t>
    </r>
  </si>
  <si>
    <t>LCoC (Baseline) ($/MWh)</t>
  </si>
  <si>
    <r>
      <rPr>
        <b/>
        <sz val="11"/>
        <color theme="1"/>
        <rFont val="Cambria"/>
        <family val="1"/>
      </rPr>
      <t xml:space="preserve">LCoC (Baseline) </t>
    </r>
    <r>
      <rPr>
        <sz val="11"/>
        <color theme="1"/>
        <rFont val="Cambria"/>
        <family val="1"/>
      </rPr>
      <t>= (Dry cooler capex ammortized + Dry cooler maintainance + Chiller capex ammortized + Chiller maintainance + Baseline elec. Consumption * elec. Cost)/8760</t>
    </r>
  </si>
  <si>
    <r>
      <t>NVW (gross) ($/m</t>
    </r>
    <r>
      <rPr>
        <b/>
        <vertAlign val="superscript"/>
        <sz val="11"/>
        <color theme="8"/>
        <rFont val="Calibri"/>
        <family val="2"/>
        <scheme val="minor"/>
      </rPr>
      <t>3</t>
    </r>
    <r>
      <rPr>
        <b/>
        <sz val="11"/>
        <color theme="8"/>
        <rFont val="Calibri"/>
        <family val="2"/>
        <scheme val="minor"/>
      </rPr>
      <t>)</t>
    </r>
  </si>
  <si>
    <r>
      <rPr>
        <b/>
        <sz val="11"/>
        <color theme="1"/>
        <rFont val="Cambria"/>
        <family val="1"/>
      </rPr>
      <t>NVW (gross, no credit)</t>
    </r>
    <r>
      <rPr>
        <sz val="11"/>
        <color theme="1"/>
        <rFont val="Cambria"/>
        <family val="1"/>
      </rPr>
      <t xml:space="preserve"> = (Uravu capex ammortized + Uravu maintainance + Chiller capex ammortized + Chiller maintainance + Uravu elec. consumption during uptime * uptime hours * elec. Cost)/Gross water prodcution</t>
    </r>
  </si>
  <si>
    <r>
      <t>NVW(net) ($/m</t>
    </r>
    <r>
      <rPr>
        <b/>
        <vertAlign val="superscript"/>
        <sz val="11"/>
        <color theme="8"/>
        <rFont val="Calibri"/>
        <family val="2"/>
        <scheme val="minor"/>
      </rPr>
      <t>3</t>
    </r>
    <r>
      <rPr>
        <b/>
        <sz val="11"/>
        <color theme="8"/>
        <rFont val="Calibri"/>
        <family val="2"/>
        <scheme val="minor"/>
      </rPr>
      <t>)</t>
    </r>
  </si>
  <si>
    <r>
      <rPr>
        <b/>
        <sz val="11"/>
        <color theme="1"/>
        <rFont val="Cambria"/>
        <family val="1"/>
      </rPr>
      <t>NVW (net, no credit)</t>
    </r>
    <r>
      <rPr>
        <sz val="11"/>
        <color theme="1"/>
        <rFont val="Cambria"/>
        <family val="1"/>
      </rPr>
      <t xml:space="preserve"> = (Uravu capex ammortized + Uravu maintainance + Chiller capex ammortized + Chiller maintainance + Uravu elec. consumption during uptime * uptime hours * elec. Cost)/Net water prodcution</t>
    </r>
  </si>
  <si>
    <r>
      <t>NVW( with cooling credit) ($/m</t>
    </r>
    <r>
      <rPr>
        <b/>
        <vertAlign val="superscript"/>
        <sz val="11"/>
        <color theme="8"/>
        <rFont val="Calibri"/>
        <family val="2"/>
        <scheme val="minor"/>
      </rPr>
      <t>3</t>
    </r>
    <r>
      <rPr>
        <b/>
        <sz val="11"/>
        <color theme="8"/>
        <rFont val="Calibri"/>
        <family val="2"/>
        <scheme val="minor"/>
      </rPr>
      <t>)</t>
    </r>
  </si>
  <si>
    <r>
      <rPr>
        <b/>
        <sz val="11"/>
        <color theme="1"/>
        <rFont val="Cambria"/>
        <family val="1"/>
      </rPr>
      <t>NVW (credit)</t>
    </r>
    <r>
      <rPr>
        <sz val="11"/>
        <color theme="1"/>
        <rFont val="Cambria"/>
        <family val="1"/>
      </rPr>
      <t xml:space="preserve"> = (LCoC Uravu - LCoC baseline)/Net Water Produced</t>
    </r>
  </si>
  <si>
    <t>Cooling &amp; Water-as-a-Service (CWaaS) Business Model</t>
  </si>
  <si>
    <t>CWaaS discount rate on baseline LCOC (%)</t>
  </si>
  <si>
    <t>Fixed Payment ammortized period</t>
  </si>
  <si>
    <r>
      <rPr>
        <b/>
        <sz val="11"/>
        <color rgb="FF4472C4"/>
        <rFont val="Calibri"/>
        <family val="2"/>
        <scheme val="minor"/>
      </rPr>
      <t xml:space="preserve">Capacity payment ($/MW) | </t>
    </r>
    <r>
      <rPr>
        <i/>
        <sz val="11"/>
        <color rgb="FF4472C4"/>
        <rFont val="Calibri"/>
        <family val="2"/>
        <scheme val="minor"/>
      </rPr>
      <t>Fixed payment to Uravu</t>
    </r>
  </si>
  <si>
    <r>
      <rPr>
        <b/>
        <sz val="11"/>
        <color theme="1"/>
        <rFont val="Cambria"/>
        <family val="1"/>
      </rPr>
      <t>Capacity payment ($/MW)</t>
    </r>
    <r>
      <rPr>
        <sz val="11"/>
        <color theme="1"/>
        <rFont val="Cambria"/>
        <family val="1"/>
      </rPr>
      <t xml:space="preserve"> = covers Uravu capital recovery + minimum O&amp;M</t>
    </r>
  </si>
  <si>
    <t>Usage payment ($/MWh)</t>
  </si>
  <si>
    <r>
      <rPr>
        <b/>
        <sz val="11"/>
        <color theme="1"/>
        <rFont val="Cambria"/>
        <family val="1"/>
      </rPr>
      <t>Usage payment ($/MWh</t>
    </r>
    <r>
      <rPr>
        <b/>
        <vertAlign val="subscript"/>
        <sz val="11"/>
        <color theme="1"/>
        <rFont val="Cambria"/>
        <family val="1"/>
      </rPr>
      <t>cool</t>
    </r>
    <r>
      <rPr>
        <b/>
        <sz val="11"/>
        <color theme="1"/>
        <rFont val="Cambria"/>
        <family val="1"/>
      </rPr>
      <t xml:space="preserve"> or $/ton-hour)</t>
    </r>
    <r>
      <rPr>
        <sz val="11"/>
        <color theme="1"/>
        <rFont val="Cambria"/>
        <family val="1"/>
      </rPr>
      <t>: charged on metered delivered cooling</t>
    </r>
  </si>
  <si>
    <t>CWaaS charge ($/Yr)</t>
  </si>
  <si>
    <r>
      <t xml:space="preserve">Cooling water as a service (CWaaS) charge for a period </t>
    </r>
    <r>
      <rPr>
        <sz val="11"/>
        <color rgb="FF000000"/>
        <rFont val="Cambria"/>
      </rPr>
      <t>=</t>
    </r>
    <r>
      <rPr>
        <b/>
        <sz val="11"/>
        <color rgb="FF000000"/>
        <rFont val="Cambria"/>
      </rPr>
      <t xml:space="preserve"> </t>
    </r>
    <r>
      <rPr>
        <sz val="11"/>
        <color rgb="FF000000"/>
        <rFont val="Cambria"/>
      </rPr>
      <t>(1 − CWaaS dicount rate) × Baseline LCoC × (metered cooling delivered) + capacity payment</t>
    </r>
  </si>
  <si>
    <t>Baseline charge ($/Yr)</t>
  </si>
  <si>
    <r>
      <t xml:space="preserve">Baseline charge for a period </t>
    </r>
    <r>
      <rPr>
        <sz val="11"/>
        <color rgb="FF000000"/>
        <rFont val="Cambria"/>
      </rPr>
      <t>=</t>
    </r>
    <r>
      <rPr>
        <b/>
        <sz val="11"/>
        <color rgb="FF000000"/>
        <rFont val="Cambria"/>
      </rPr>
      <t xml:space="preserve"> </t>
    </r>
    <r>
      <rPr>
        <sz val="11"/>
        <color rgb="FF000000"/>
        <rFont val="Cambria"/>
      </rPr>
      <t>Baseline LCoC × metered cooling delivered</t>
    </r>
  </si>
  <si>
    <t>Annual Savings($/Yr)</t>
  </si>
  <si>
    <t>Water Assest Value</t>
  </si>
  <si>
    <r>
      <t>Water cost ($/m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</si>
  <si>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Total Water Value ($/Yr)</t>
  </si>
  <si>
    <r>
      <t xml:space="preserve">Water Asset Value: </t>
    </r>
    <r>
      <rPr>
        <sz val="11"/>
        <color theme="1"/>
        <rFont val="Cambria"/>
        <family val="1"/>
      </rPr>
      <t>water cost × Net water production</t>
    </r>
  </si>
  <si>
    <t>Performance metric for Uravu - blended system</t>
  </si>
  <si>
    <t>Uravu Uptime (hrs)</t>
  </si>
  <si>
    <t>Uravu downtime due to WBT (hrs)</t>
  </si>
  <si>
    <t>Gross water production (m3/MW/Yr)</t>
  </si>
  <si>
    <t>Net water production  (m3/MW/Yr)</t>
  </si>
  <si>
    <t>Baseline elec. Consumption (MWh)</t>
  </si>
  <si>
    <t>CWaaS dicount rate (%)</t>
  </si>
  <si>
    <t>Performance metric for Uravu  - blended system</t>
  </si>
  <si>
    <r>
      <rPr>
        <b/>
        <sz val="11"/>
        <color rgb="FF000000"/>
        <rFont val="Cambria"/>
      </rPr>
      <t>Usage payment ($/MWh</t>
    </r>
    <r>
      <rPr>
        <b/>
        <vertAlign val="subscript"/>
        <sz val="11"/>
        <color rgb="FF000000"/>
        <rFont val="Cambria"/>
      </rPr>
      <t>cool</t>
    </r>
    <r>
      <rPr>
        <b/>
        <sz val="11"/>
        <color rgb="FF000000"/>
        <rFont val="Cambria"/>
      </rPr>
      <t xml:space="preserve"> or $/ton-hour)</t>
    </r>
    <r>
      <rPr>
        <sz val="11"/>
        <color rgb="FF000000"/>
        <rFont val="Cambria"/>
      </rPr>
      <t>: charged on metered delivered cooling</t>
    </r>
  </si>
  <si>
    <r>
      <t>Water cost ($/m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</si>
</sst>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C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8"/>
      <name val="Calibri"/>
      <family val="2"/>
    </font>
    <font>
      <b/>
      <sz val="11"/>
      <color theme="8"/>
      <name val="Calibri"/>
      <family val="2"/>
      <scheme val="minor"/>
    </font>
    <font>
      <b/>
      <vertAlign val="superscript"/>
      <sz val="11"/>
      <color theme="8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vertAlign val="subscript"/>
      <sz val="11"/>
      <color theme="1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11"/>
      <color rgb="FF4472C4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rgb="FF4472C4"/>
      <name val="Calibri"/>
      <family val="2"/>
      <scheme val="minor"/>
    </font>
    <font>
      <i/>
      <sz val="11"/>
      <color rgb="FF4472C4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0000"/>
      <name val="Cambria"/>
    </font>
    <font>
      <sz val="11"/>
      <color rgb="FF000000"/>
      <name val="Cambria"/>
    </font>
    <font>
      <b/>
      <vertAlign val="subscript"/>
      <sz val="11"/>
      <color rgb="FF000000"/>
      <name val="Cambria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rgb="FFC00000"/>
      </left>
      <right style="thick">
        <color rgb="FFC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14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4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2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9" fontId="0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4" borderId="1" xfId="0" applyFont="1" applyFill="1" applyBorder="1" applyAlignment="1">
      <alignment vertical="center" wrapText="1"/>
    </xf>
    <xf numFmtId="0" fontId="24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4" fillId="5" borderId="0" xfId="1" applyNumberFormat="1" applyFont="1" applyFill="1" applyAlignment="1">
      <alignment horizontal="center" vertical="center"/>
    </xf>
    <xf numFmtId="0" fontId="26" fillId="2" borderId="1" xfId="0" applyFont="1" applyFill="1" applyBorder="1" applyAlignment="1">
      <alignment horizontal="left" vertical="center" wrapText="1"/>
    </xf>
    <xf numFmtId="165" fontId="2" fillId="0" borderId="0" xfId="0" applyNumberFormat="1" applyFont="1" applyAlignment="1">
      <alignment horizontal="right" vertical="center" shrinkToFit="1"/>
    </xf>
    <xf numFmtId="165" fontId="2" fillId="0" borderId="0" xfId="2" applyNumberFormat="1" applyFont="1" applyAlignment="1">
      <alignment horizontal="right" vertical="center" shrinkToFit="1"/>
    </xf>
    <xf numFmtId="165" fontId="28" fillId="0" borderId="0" xfId="0" applyNumberFormat="1" applyFont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0" fontId="17" fillId="2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vertical="center"/>
    </xf>
    <xf numFmtId="9" fontId="0" fillId="6" borderId="0" xfId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0" fontId="15" fillId="7" borderId="0" xfId="0" applyFont="1" applyFill="1" applyAlignment="1">
      <alignment vertical="center"/>
    </xf>
    <xf numFmtId="2" fontId="0" fillId="8" borderId="0" xfId="0" applyNumberFormat="1" applyFill="1" applyAlignment="1">
      <alignment horizontal="center" vertical="center"/>
    </xf>
    <xf numFmtId="165" fontId="2" fillId="6" borderId="0" xfId="0" applyNumberFormat="1" applyFont="1" applyFill="1" applyAlignment="1">
      <alignment horizontal="right" vertical="center" shrinkToFit="1"/>
    </xf>
    <xf numFmtId="0" fontId="7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131116</xdr:colOff>
      <xdr:row>12</xdr:row>
      <xdr:rowOff>99848</xdr:rowOff>
    </xdr:from>
    <xdr:to>
      <xdr:col>4</xdr:col>
      <xdr:colOff>480060</xdr:colOff>
      <xdr:row>12</xdr:row>
      <xdr:rowOff>106680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B18E58F-582E-4320-A44D-B653328836B2}"/>
            </a:ext>
          </a:extLst>
        </xdr:cNvPr>
        <xdr:cNvCxnSpPr/>
      </xdr:nvCxnSpPr>
      <xdr:spPr>
        <a:xfrm>
          <a:off x="6638596" y="2294408"/>
          <a:ext cx="348944" cy="683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121319</xdr:colOff>
      <xdr:row>12</xdr:row>
      <xdr:rowOff>76200</xdr:rowOff>
    </xdr:from>
    <xdr:to>
      <xdr:col>4</xdr:col>
      <xdr:colOff>470263</xdr:colOff>
      <xdr:row>12</xdr:row>
      <xdr:rowOff>83032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F10A0DB-9322-44A1-9CFE-16267588194A}"/>
            </a:ext>
          </a:extLst>
        </xdr:cNvPr>
        <xdr:cNvCxnSpPr/>
      </xdr:nvCxnSpPr>
      <xdr:spPr>
        <a:xfrm>
          <a:off x="7806633" y="2296886"/>
          <a:ext cx="348944" cy="683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47296</xdr:colOff>
      <xdr:row>12</xdr:row>
      <xdr:rowOff>99848</xdr:rowOff>
    </xdr:from>
    <xdr:to>
      <xdr:col>4</xdr:col>
      <xdr:colOff>396240</xdr:colOff>
      <xdr:row>12</xdr:row>
      <xdr:rowOff>106680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B09345D-F4C6-9F81-A25A-FD1F25EA0794}"/>
            </a:ext>
          </a:extLst>
        </xdr:cNvPr>
        <xdr:cNvCxnSpPr/>
      </xdr:nvCxnSpPr>
      <xdr:spPr>
        <a:xfrm>
          <a:off x="7598979" y="2322786"/>
          <a:ext cx="348944" cy="683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harath Ramakrishnan" id="{232750C9-5E15-498E-A5F2-D4B52CDC6F3B}" userId="S::bhramak@microsoft.com::47c7f587-18ac-4c2f-8fc5-62e6db2fd911" providerId="AD"/>
  <person displayName="Rishabh Srivastava" id="{2B67FAA4-7284-4EAB-AEFA-CFC5E24EAEE9}" userId="S::rishabh.srivastava_uravulabs.com#ext#@microsoft.onmicrosoft.com::8cdfe789-90e1-401b-aa6c-cc8b4da9e65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6-02-01T16:49:18.07" personId="{232750C9-5E15-498E-A5F2-D4B52CDC6F3B}" id="{EF10AA84-4293-404A-AA1B-3DAA3140633F}">
    <text>Reference to this assumption. How is it greater than standalone power consumption?</text>
  </threadedComment>
  <threadedComment ref="B25" dT="2026-02-02T03:55:12.23" personId="{2B67FAA4-7284-4EAB-AEFA-CFC5E24EAEE9}" id="{F6D10733-31BE-4F24-ADDC-442499145F3F}" parentId="{EF10AA84-4293-404A-AA1B-3DAA3140633F}">
    <text>The higher chiller energy consumption under part-load operation compared to the stand-alone system is primarily due to increased operating hours. As established earlier, the chiller’s power draw during part-load operation is lower than that of a stand-alone chiller. However, the chiller must also operate during periods of downtime (i.e., when the wet-bulb temperature exceeds the threshold). During these periods, most of the cooling demand is met by the Uravu system—operating as a dry cooler without water production—and by the indirect evaporative cooler when ambient conditions are unsuitable for dry cooling. Consequently, the extended duration of part-load operation results in higher cumulative chiller energy consumption.
It is also important to note that the stand-alone chiller consumption shown in Row 25 corresponds to full-load chiller operation during periods when Uravu is unavailable due to high water usage. Therefore, the total chiller energy consumption in the Uravu-integrated case is the sum of the part-load chiller consumption and the stand-alone (full-load) consumption. Even so, when compared to the baseline chiller operation, this still represents more than an 80% reduction in chiller load.
For example, total electrical consumption of chiller with Uravu = 66704 (row 25 + row 26)
total baseline chiller consumption = 496328 (row 33 X row 19)
total reduction = (496328 - 66704)/496328 = 86 %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4"/>
  <sheetViews>
    <sheetView topLeftCell="A22" zoomScaleNormal="100" workbookViewId="0">
      <selection activeCell="B7" sqref="B7:D7"/>
    </sheetView>
  </sheetViews>
  <sheetFormatPr defaultColWidth="8.85546875" defaultRowHeight="14.45"/>
  <cols>
    <col min="1" max="1" width="68.85546875" style="3" customWidth="1"/>
    <col min="2" max="3" width="15.85546875" style="7" customWidth="1"/>
    <col min="4" max="4" width="15.42578125" style="7" customWidth="1"/>
    <col min="5" max="5" width="8.85546875" style="3"/>
    <col min="6" max="6" width="86.85546875" style="3" customWidth="1"/>
    <col min="7" max="16384" width="8.85546875" style="3"/>
  </cols>
  <sheetData>
    <row r="2" spans="1:6">
      <c r="A2" s="42" t="s">
        <v>0</v>
      </c>
      <c r="B2" s="42"/>
      <c r="C2" s="42"/>
      <c r="D2" s="42"/>
    </row>
    <row r="3" spans="1:6">
      <c r="A3" s="17" t="s">
        <v>1</v>
      </c>
      <c r="B3" s="10">
        <v>35</v>
      </c>
      <c r="C3" s="10">
        <v>40</v>
      </c>
      <c r="D3" s="10">
        <v>45</v>
      </c>
    </row>
    <row r="4" spans="1:6">
      <c r="A4" s="17" t="s">
        <v>2</v>
      </c>
      <c r="B4" s="10">
        <v>23</v>
      </c>
      <c r="C4" s="10">
        <v>28</v>
      </c>
      <c r="D4" s="10">
        <v>33</v>
      </c>
    </row>
    <row r="5" spans="1:6">
      <c r="A5" s="17" t="s">
        <v>3</v>
      </c>
      <c r="B5" s="10">
        <v>0.13</v>
      </c>
      <c r="C5" s="10">
        <v>0.13</v>
      </c>
      <c r="D5" s="10">
        <v>0.13</v>
      </c>
    </row>
    <row r="6" spans="1:6">
      <c r="A6" s="13" t="s">
        <v>4</v>
      </c>
      <c r="B6" s="30">
        <f>500000</f>
        <v>500000</v>
      </c>
      <c r="C6" s="30">
        <f t="shared" ref="C6:D6" si="0">500000</f>
        <v>500000</v>
      </c>
      <c r="D6" s="30">
        <f t="shared" si="0"/>
        <v>500000</v>
      </c>
    </row>
    <row r="7" spans="1:6">
      <c r="A7" s="13" t="s">
        <v>5</v>
      </c>
      <c r="B7" s="33">
        <f>150000</f>
        <v>150000</v>
      </c>
      <c r="C7" s="33">
        <f t="shared" ref="C7:D7" si="1">150000</f>
        <v>150000</v>
      </c>
      <c r="D7" s="33">
        <f t="shared" si="1"/>
        <v>150000</v>
      </c>
    </row>
    <row r="8" spans="1:6">
      <c r="A8" s="13" t="s">
        <v>6</v>
      </c>
      <c r="B8" s="33">
        <f>350000</f>
        <v>350000</v>
      </c>
      <c r="C8" s="33">
        <f t="shared" ref="C8:D8" si="2">350000</f>
        <v>350000</v>
      </c>
      <c r="D8" s="33">
        <f t="shared" si="2"/>
        <v>350000</v>
      </c>
    </row>
    <row r="9" spans="1:6">
      <c r="A9" s="17" t="s">
        <v>7</v>
      </c>
      <c r="B9" s="8">
        <v>0.02</v>
      </c>
      <c r="C9" s="8">
        <v>0.02</v>
      </c>
      <c r="D9" s="8">
        <v>0.02</v>
      </c>
    </row>
    <row r="10" spans="1:6">
      <c r="A10" s="17" t="s">
        <v>8</v>
      </c>
      <c r="B10" s="8">
        <v>0.02</v>
      </c>
      <c r="C10" s="8">
        <v>0.02</v>
      </c>
      <c r="D10" s="8">
        <v>0.02</v>
      </c>
    </row>
    <row r="11" spans="1:6">
      <c r="A11" s="17" t="s">
        <v>9</v>
      </c>
      <c r="B11" s="8">
        <v>0.03</v>
      </c>
      <c r="C11" s="8">
        <v>0.03</v>
      </c>
      <c r="D11" s="8">
        <v>0.03</v>
      </c>
    </row>
    <row r="12" spans="1:6">
      <c r="A12" s="17" t="s">
        <v>10</v>
      </c>
      <c r="B12" s="7">
        <v>15</v>
      </c>
      <c r="C12" s="7">
        <v>15</v>
      </c>
      <c r="D12" s="7">
        <v>15</v>
      </c>
    </row>
    <row r="13" spans="1:6">
      <c r="A13" s="26" t="s">
        <v>11</v>
      </c>
      <c r="B13" s="28">
        <v>10</v>
      </c>
      <c r="C13" s="28">
        <v>10</v>
      </c>
      <c r="D13" s="28">
        <v>10</v>
      </c>
      <c r="F13" s="26" t="s">
        <v>12</v>
      </c>
    </row>
    <row r="15" spans="1:6">
      <c r="A15" s="44" t="s">
        <v>13</v>
      </c>
      <c r="B15" s="44"/>
      <c r="C15" s="44"/>
      <c r="D15" s="44"/>
    </row>
    <row r="16" spans="1:6">
      <c r="A16" s="13" t="s">
        <v>14</v>
      </c>
      <c r="B16" s="27">
        <f>50</f>
        <v>50</v>
      </c>
      <c r="C16" s="27">
        <f>50</f>
        <v>50</v>
      </c>
      <c r="D16" s="27">
        <f>50</f>
        <v>50</v>
      </c>
    </row>
    <row r="17" spans="1:7">
      <c r="A17" s="13" t="s">
        <v>15</v>
      </c>
      <c r="B17" s="27">
        <f>40</f>
        <v>40</v>
      </c>
      <c r="C17" s="27">
        <f>40</f>
        <v>40</v>
      </c>
      <c r="D17" s="27">
        <f>40</f>
        <v>40</v>
      </c>
    </row>
    <row r="18" spans="1:7">
      <c r="A18" s="13" t="s">
        <v>16</v>
      </c>
      <c r="B18" s="27">
        <f>45</f>
        <v>45</v>
      </c>
      <c r="C18" s="27">
        <f>45</f>
        <v>45</v>
      </c>
      <c r="D18" s="27">
        <f>45</f>
        <v>45</v>
      </c>
    </row>
    <row r="19" spans="1:7">
      <c r="A19" s="13" t="s">
        <v>17</v>
      </c>
      <c r="B19" s="27">
        <f>1000/3</f>
        <v>333.33333333333331</v>
      </c>
      <c r="C19" s="27">
        <f t="shared" ref="C19:D19" si="3">1000/3</f>
        <v>333.33333333333331</v>
      </c>
      <c r="D19" s="27">
        <f t="shared" si="3"/>
        <v>333.33333333333331</v>
      </c>
      <c r="F19" s="43" t="s">
        <v>18</v>
      </c>
      <c r="G19" s="43"/>
    </row>
    <row r="21" spans="1:7">
      <c r="A21" s="44" t="s">
        <v>19</v>
      </c>
      <c r="B21" s="44"/>
      <c r="C21" s="44"/>
      <c r="D21" s="44"/>
    </row>
    <row r="22" spans="1:7" ht="15.6">
      <c r="A22" s="17" t="s">
        <v>20</v>
      </c>
      <c r="B22" s="7">
        <v>5427</v>
      </c>
      <c r="C22" s="7">
        <v>7146</v>
      </c>
      <c r="D22" s="7">
        <v>8573</v>
      </c>
      <c r="F22" s="9"/>
    </row>
    <row r="23" spans="1:7" ht="15">
      <c r="A23" s="17" t="s">
        <v>21</v>
      </c>
      <c r="B23" s="10">
        <v>3183</v>
      </c>
      <c r="C23" s="10">
        <v>1470</v>
      </c>
      <c r="D23" s="10">
        <v>3</v>
      </c>
      <c r="F23" s="11"/>
    </row>
    <row r="24" spans="1:7" ht="15">
      <c r="A24" s="17" t="s">
        <v>22</v>
      </c>
      <c r="B24" s="10">
        <f>(8760-(B22+B23))</f>
        <v>150</v>
      </c>
      <c r="C24" s="10">
        <f t="shared" ref="C24:D24" si="4">(8760-(C22+C23))</f>
        <v>144</v>
      </c>
      <c r="D24" s="10">
        <f t="shared" si="4"/>
        <v>184</v>
      </c>
      <c r="F24" s="11"/>
    </row>
    <row r="25" spans="1:7" ht="15">
      <c r="A25" s="17" t="s">
        <v>23</v>
      </c>
      <c r="B25" s="7">
        <v>1039728.61111112</v>
      </c>
      <c r="C25" s="7">
        <v>422195.27777777798</v>
      </c>
      <c r="D25" s="7">
        <v>124215.277777778</v>
      </c>
      <c r="F25" s="12"/>
    </row>
    <row r="26" spans="1:7" ht="35.450000000000003" customHeight="1">
      <c r="A26" s="22" t="s">
        <v>24</v>
      </c>
      <c r="B26" s="27">
        <f>B19*B24</f>
        <v>50000</v>
      </c>
      <c r="C26" s="27">
        <f t="shared" ref="C26:D26" si="5">C19*C24</f>
        <v>48000</v>
      </c>
      <c r="D26" s="27">
        <f t="shared" si="5"/>
        <v>61333.333333333328</v>
      </c>
      <c r="F26" s="25" t="s">
        <v>25</v>
      </c>
    </row>
    <row r="27" spans="1:7" ht="41.45">
      <c r="A27" s="22" t="s">
        <v>26</v>
      </c>
      <c r="B27" s="27">
        <f>(B16*B22+B17*B23+B25+B26)*B13/1000</f>
        <v>14883.986111111197</v>
      </c>
      <c r="C27" s="27">
        <f t="shared" ref="C27:D27" si="6">(C16*C22+C17*C23+C25+C26)*C13/1000</f>
        <v>8862.9527777777803</v>
      </c>
      <c r="D27" s="27">
        <f t="shared" si="6"/>
        <v>6143.1861111111139</v>
      </c>
      <c r="F27" s="25" t="s">
        <v>27</v>
      </c>
    </row>
    <row r="28" spans="1:7" ht="16.149999999999999">
      <c r="A28" s="35" t="s">
        <v>28</v>
      </c>
      <c r="B28" s="40">
        <v>6977.5714285714303</v>
      </c>
      <c r="C28" s="40">
        <v>9245.5714285714294</v>
      </c>
      <c r="D28" s="40">
        <v>11016</v>
      </c>
    </row>
    <row r="29" spans="1:7" ht="16.149999999999999">
      <c r="A29" s="35" t="s">
        <v>29</v>
      </c>
      <c r="B29" s="40">
        <v>3643.16448979591</v>
      </c>
      <c r="C29" s="40">
        <v>5287.1938775509398</v>
      </c>
      <c r="D29" s="40">
        <v>7266.8314285713795</v>
      </c>
    </row>
    <row r="31" spans="1:7">
      <c r="A31" s="44" t="s">
        <v>30</v>
      </c>
      <c r="B31" s="44"/>
      <c r="C31" s="44"/>
      <c r="D31" s="44"/>
    </row>
    <row r="32" spans="1:7">
      <c r="A32" s="17" t="s">
        <v>31</v>
      </c>
      <c r="B32" s="7">
        <v>3170</v>
      </c>
      <c r="C32" s="7">
        <v>4483</v>
      </c>
      <c r="D32" s="7">
        <v>5918</v>
      </c>
    </row>
    <row r="33" spans="1:8">
      <c r="A33" s="17" t="s">
        <v>32</v>
      </c>
      <c r="B33" s="7">
        <v>5590</v>
      </c>
      <c r="C33" s="7">
        <v>4277</v>
      </c>
      <c r="D33" s="7">
        <v>2842</v>
      </c>
    </row>
    <row r="34" spans="1:8" ht="27.6">
      <c r="A34" s="22" t="s">
        <v>33</v>
      </c>
      <c r="B34" s="27">
        <f>(B32*B18+B33*B19)*B13/1000</f>
        <v>20059.833333333332</v>
      </c>
      <c r="C34" s="27">
        <f t="shared" ref="C34:D34" si="7">(C32*C18+C33*C19)*C13/1000</f>
        <v>16274.016666666665</v>
      </c>
      <c r="D34" s="27">
        <f t="shared" si="7"/>
        <v>12136.433333333332</v>
      </c>
      <c r="F34" s="2" t="s">
        <v>34</v>
      </c>
    </row>
    <row r="35" spans="1:8">
      <c r="A35" s="5"/>
    </row>
    <row r="36" spans="1:8">
      <c r="A36" s="42" t="s">
        <v>35</v>
      </c>
      <c r="B36" s="42"/>
      <c r="C36" s="42"/>
      <c r="D36" s="42"/>
      <c r="F36" s="39" t="s">
        <v>36</v>
      </c>
    </row>
    <row r="37" spans="1:8" ht="27.6">
      <c r="A37" s="13" t="s">
        <v>37</v>
      </c>
      <c r="B37" s="30">
        <f>(B6/B12*B13+B6*B9*B13+B27*1000*B5 + B8/B12*B13+B8*B11*B13)/(B13*8760)</f>
        <v>30.897087455606425</v>
      </c>
      <c r="C37" s="30">
        <f t="shared" ref="C37:D37" si="8">(C6/C12*C13+C6*C9*C13+C27*1000*C5 + C8/C12*C13+C8*C11*C13)/(C13*8760)</f>
        <v>21.961764015728061</v>
      </c>
      <c r="D37" s="30">
        <f t="shared" si="8"/>
        <v>17.925580606291227</v>
      </c>
      <c r="F37" s="1" t="s">
        <v>38</v>
      </c>
    </row>
    <row r="38" spans="1:8" ht="27.6">
      <c r="A38" s="13" t="s">
        <v>39</v>
      </c>
      <c r="B38" s="31">
        <f>(B34*1000*B5+B7*B10*B13+B7/B12*B13+B8/B12*B13+B8*B11*B13)/(B13*8760)</f>
        <v>35.115429984779304</v>
      </c>
      <c r="C38" s="31">
        <f t="shared" ref="C38:D38" si="9">(C34*1000*C5+C7*C10*C13+C7/C12*C13+C8/C12*C13+C8*C11*C13)/(C13*8760)</f>
        <v>29.497208904109588</v>
      </c>
      <c r="D38" s="31">
        <f t="shared" si="9"/>
        <v>23.356959665144593</v>
      </c>
      <c r="F38" s="1" t="s">
        <v>40</v>
      </c>
    </row>
    <row r="39" spans="1:8" ht="41.45">
      <c r="A39" s="14" t="s">
        <v>41</v>
      </c>
      <c r="B39" s="30">
        <f>(B6/B12+B6*B9/B12+(B22*B16)*B5+B8/B12+B8*B11/B12)*B13/(B28*B13)</f>
        <v>13.372680493281189</v>
      </c>
      <c r="C39" s="30">
        <f t="shared" ref="C39:D39" si="10">(C6/C12+C6*C9/C12+(C22*C16)*C5+C8/C12+C8*C11/C12)*C13/(C28*C13)</f>
        <v>11.300797807959537</v>
      </c>
      <c r="D39" s="30">
        <f t="shared" si="10"/>
        <v>10.326600702009198</v>
      </c>
      <c r="F39" s="1" t="s">
        <v>42</v>
      </c>
      <c r="G39" s="15"/>
      <c r="H39" s="15"/>
    </row>
    <row r="40" spans="1:8" ht="41.45">
      <c r="A40" s="14" t="s">
        <v>43</v>
      </c>
      <c r="B40" s="30">
        <f>(B6/B12+B6*B9/B12+(B22*B16)*B5+B8/B12+B8*B11/B12)*B13/(B29*B13)</f>
        <v>25.612028662082309</v>
      </c>
      <c r="C40" s="30">
        <f t="shared" ref="C40:D40" si="11">(C6/C12+C6*C9/C12+(C22*C16)*C5+C8/C12+C8*C11/C12)*C13/(C29*C13)</f>
        <v>19.761396262951145</v>
      </c>
      <c r="D40" s="30">
        <f t="shared" si="11"/>
        <v>15.654392764096016</v>
      </c>
      <c r="F40" s="1" t="s">
        <v>44</v>
      </c>
      <c r="G40" s="15"/>
      <c r="H40" s="15"/>
    </row>
    <row r="41" spans="1:8" ht="16.149999999999999">
      <c r="A41" s="14" t="s">
        <v>45</v>
      </c>
      <c r="B41" s="30">
        <f>(B37-B38)*B13*8760/(B29*B13)</f>
        <v>-10.143017329866574</v>
      </c>
      <c r="C41" s="30">
        <f t="shared" ref="C41:D41" si="12">(C37-C38)*C13*8760/(C29*C13)</f>
        <v>-12.48497761780558</v>
      </c>
      <c r="D41" s="30">
        <f t="shared" si="12"/>
        <v>-6.5474039164424713</v>
      </c>
      <c r="F41" s="1" t="s">
        <v>46</v>
      </c>
    </row>
    <row r="43" spans="1:8">
      <c r="A43" s="42" t="s">
        <v>47</v>
      </c>
      <c r="B43" s="42"/>
      <c r="C43" s="42"/>
      <c r="D43" s="42"/>
    </row>
    <row r="44" spans="1:8">
      <c r="A44" s="6" t="s">
        <v>48</v>
      </c>
      <c r="B44" s="8">
        <v>0.1</v>
      </c>
      <c r="C44" s="36">
        <v>0.25</v>
      </c>
      <c r="D44" s="8">
        <v>0.1</v>
      </c>
    </row>
    <row r="45" spans="1:8">
      <c r="A45" s="6" t="s">
        <v>49</v>
      </c>
      <c r="B45" s="16">
        <v>5</v>
      </c>
      <c r="C45" s="16">
        <v>5</v>
      </c>
      <c r="D45" s="16">
        <v>5</v>
      </c>
    </row>
    <row r="46" spans="1:8" ht="21" customHeight="1">
      <c r="A46" s="24" t="s">
        <v>50</v>
      </c>
      <c r="B46" s="30">
        <f>500000*0.02+500000/B45</f>
        <v>110000</v>
      </c>
      <c r="C46" s="30">
        <f t="shared" ref="C46:D46" si="13">500000*0.02+500000/C45</f>
        <v>110000</v>
      </c>
      <c r="D46" s="30">
        <f t="shared" si="13"/>
        <v>110000</v>
      </c>
      <c r="F46" s="4" t="s">
        <v>51</v>
      </c>
    </row>
    <row r="47" spans="1:8" ht="19.899999999999999" customHeight="1">
      <c r="A47" s="14" t="s">
        <v>52</v>
      </c>
      <c r="B47" s="30">
        <f>MAX((B38 - B44*B38) - B46*B13/(B13*8760),0)</f>
        <v>19.046809360730595</v>
      </c>
      <c r="C47" s="30">
        <f t="shared" ref="C47:D47" si="14">MAX((C38 - C44*C38) - C46*C13/(C13*8760),0)</f>
        <v>9.5658290525114147</v>
      </c>
      <c r="D47" s="30">
        <f t="shared" si="14"/>
        <v>8.4641860730593557</v>
      </c>
      <c r="F47" s="1" t="s">
        <v>53</v>
      </c>
    </row>
    <row r="48" spans="1:8" ht="30.75" customHeight="1">
      <c r="A48" s="14" t="s">
        <v>54</v>
      </c>
      <c r="B48" s="30">
        <f>B47*B13*8760 + B46*B13</f>
        <v>2768500.5</v>
      </c>
      <c r="C48" s="30">
        <f t="shared" ref="C48:D48" si="15">C47*C13*8760 + C46*C13</f>
        <v>1937966.625</v>
      </c>
      <c r="D48" s="30">
        <f t="shared" si="15"/>
        <v>1841462.6999999995</v>
      </c>
      <c r="F48" s="34" t="s">
        <v>55</v>
      </c>
    </row>
    <row r="49" spans="1:6" ht="29.25" customHeight="1">
      <c r="A49" s="14" t="s">
        <v>56</v>
      </c>
      <c r="B49" s="30">
        <f>B38*8760*B13</f>
        <v>3076111.666666667</v>
      </c>
      <c r="C49" s="30">
        <f t="shared" ref="C49:D49" si="16">C38*8760*C13</f>
        <v>2583955.5</v>
      </c>
      <c r="D49" s="30">
        <f t="shared" si="16"/>
        <v>2046069.6666666665</v>
      </c>
      <c r="F49" s="34" t="s">
        <v>57</v>
      </c>
    </row>
    <row r="50" spans="1:6" ht="29.25" customHeight="1">
      <c r="A50" s="14" t="s">
        <v>58</v>
      </c>
      <c r="B50" s="41">
        <f>B49-B48</f>
        <v>307611.16666666698</v>
      </c>
      <c r="C50" s="41">
        <f t="shared" ref="C50:D50" si="17">C49-C48</f>
        <v>645988.875</v>
      </c>
      <c r="D50" s="41">
        <f t="shared" si="17"/>
        <v>204606.96666666702</v>
      </c>
      <c r="F50" s="38"/>
    </row>
    <row r="52" spans="1:6">
      <c r="A52" s="42" t="s">
        <v>59</v>
      </c>
      <c r="B52" s="42"/>
      <c r="C52" s="42"/>
      <c r="D52" s="42"/>
    </row>
    <row r="53" spans="1:6" ht="16.149999999999999">
      <c r="A53" s="3" t="s">
        <v>60</v>
      </c>
      <c r="B53" s="7">
        <v>2.5</v>
      </c>
      <c r="C53" s="7">
        <v>2.5</v>
      </c>
      <c r="D53" s="7">
        <v>2.5</v>
      </c>
    </row>
    <row r="54" spans="1:6" ht="19.5" customHeight="1">
      <c r="A54" s="14" t="s">
        <v>61</v>
      </c>
      <c r="B54" s="41">
        <f>B53*B29*B13</f>
        <v>91079.112244897755</v>
      </c>
      <c r="C54" s="41">
        <f t="shared" ref="C54:D54" si="18">C53*C29*C13</f>
        <v>132179.84693877349</v>
      </c>
      <c r="D54" s="41">
        <f t="shared" si="18"/>
        <v>181670.78571428452</v>
      </c>
      <c r="F54" s="2" t="s">
        <v>62</v>
      </c>
    </row>
  </sheetData>
  <mergeCells count="8">
    <mergeCell ref="A52:D52"/>
    <mergeCell ref="A36:D36"/>
    <mergeCell ref="A43:D43"/>
    <mergeCell ref="F19:G19"/>
    <mergeCell ref="A2:D2"/>
    <mergeCell ref="A15:D15"/>
    <mergeCell ref="A21:D21"/>
    <mergeCell ref="A31:D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3698-96EC-4DB8-A9F3-2159F5147CC4}">
  <dimension ref="A2:F60"/>
  <sheetViews>
    <sheetView tabSelected="1" topLeftCell="A33" zoomScaleNormal="100" workbookViewId="0">
      <selection activeCell="F21" sqref="F21"/>
    </sheetView>
  </sheetViews>
  <sheetFormatPr defaultColWidth="8.85546875" defaultRowHeight="14.45"/>
  <cols>
    <col min="1" max="1" width="67.28515625" style="3" customWidth="1"/>
    <col min="2" max="2" width="14.28515625" style="7" customWidth="1"/>
    <col min="3" max="3" width="13.5703125" style="7" customWidth="1"/>
    <col min="4" max="4" width="14" style="7" customWidth="1"/>
    <col min="5" max="5" width="8.85546875" style="3"/>
    <col min="6" max="6" width="103.7109375" style="3" customWidth="1"/>
    <col min="7" max="16384" width="8.85546875" style="3"/>
  </cols>
  <sheetData>
    <row r="2" spans="1:6">
      <c r="A2" s="42" t="s">
        <v>0</v>
      </c>
      <c r="B2" s="42"/>
      <c r="C2" s="42"/>
      <c r="D2" s="42"/>
    </row>
    <row r="3" spans="1:6">
      <c r="A3" s="17" t="s">
        <v>1</v>
      </c>
      <c r="B3" s="10">
        <v>35</v>
      </c>
      <c r="C3" s="10">
        <v>40</v>
      </c>
      <c r="D3" s="10">
        <v>45</v>
      </c>
      <c r="E3" s="17"/>
    </row>
    <row r="4" spans="1:6">
      <c r="A4" s="17" t="s">
        <v>2</v>
      </c>
      <c r="B4" s="10">
        <v>23</v>
      </c>
      <c r="C4" s="10">
        <v>28</v>
      </c>
      <c r="D4" s="10">
        <v>33</v>
      </c>
      <c r="E4" s="17"/>
    </row>
    <row r="5" spans="1:6">
      <c r="A5" s="17" t="s">
        <v>3</v>
      </c>
      <c r="B5" s="10">
        <v>0.2</v>
      </c>
      <c r="C5" s="10">
        <v>0.2</v>
      </c>
      <c r="D5" s="10">
        <v>0.2</v>
      </c>
      <c r="E5" s="17"/>
    </row>
    <row r="6" spans="1:6">
      <c r="A6" s="13" t="s">
        <v>4</v>
      </c>
      <c r="B6" s="30">
        <f>500000</f>
        <v>500000</v>
      </c>
      <c r="C6" s="30">
        <f t="shared" ref="C6:D6" si="0">500000</f>
        <v>500000</v>
      </c>
      <c r="D6" s="30">
        <f t="shared" si="0"/>
        <v>500000</v>
      </c>
    </row>
    <row r="7" spans="1:6">
      <c r="A7" s="13" t="s">
        <v>5</v>
      </c>
      <c r="B7" s="33">
        <f>150000</f>
        <v>150000</v>
      </c>
      <c r="C7" s="33">
        <f t="shared" ref="C7:D7" si="1">150000</f>
        <v>150000</v>
      </c>
      <c r="D7" s="33">
        <f t="shared" si="1"/>
        <v>150000</v>
      </c>
      <c r="E7" s="17"/>
    </row>
    <row r="8" spans="1:6">
      <c r="A8" s="13" t="s">
        <v>6</v>
      </c>
      <c r="B8" s="33">
        <f>350000</f>
        <v>350000</v>
      </c>
      <c r="C8" s="33">
        <f t="shared" ref="C8:D8" si="2">350000</f>
        <v>350000</v>
      </c>
      <c r="D8" s="33">
        <f t="shared" si="2"/>
        <v>350000</v>
      </c>
      <c r="E8" s="17"/>
    </row>
    <row r="9" spans="1:6">
      <c r="A9" s="17" t="s">
        <v>7</v>
      </c>
      <c r="B9" s="8">
        <v>0.02</v>
      </c>
      <c r="C9" s="8">
        <v>0.02</v>
      </c>
      <c r="D9" s="8">
        <v>0.02</v>
      </c>
      <c r="E9" s="18"/>
    </row>
    <row r="10" spans="1:6">
      <c r="A10" s="17" t="s">
        <v>8</v>
      </c>
      <c r="B10" s="8">
        <v>0.02</v>
      </c>
      <c r="C10" s="8">
        <v>0.02</v>
      </c>
      <c r="D10" s="8">
        <v>0.02</v>
      </c>
      <c r="E10" s="18"/>
    </row>
    <row r="11" spans="1:6">
      <c r="A11" s="17" t="s">
        <v>9</v>
      </c>
      <c r="B11" s="8">
        <v>0.03</v>
      </c>
      <c r="C11" s="8">
        <v>0.03</v>
      </c>
      <c r="D11" s="8">
        <v>0.03</v>
      </c>
      <c r="E11" s="18"/>
    </row>
    <row r="12" spans="1:6">
      <c r="A12" s="17" t="s">
        <v>10</v>
      </c>
      <c r="B12" s="7">
        <v>15</v>
      </c>
      <c r="C12" s="7">
        <v>15</v>
      </c>
      <c r="D12" s="7">
        <v>15</v>
      </c>
    </row>
    <row r="13" spans="1:6">
      <c r="A13" s="26" t="s">
        <v>11</v>
      </c>
      <c r="B13" s="28">
        <v>10</v>
      </c>
      <c r="C13" s="28">
        <v>10</v>
      </c>
      <c r="D13" s="28">
        <v>10</v>
      </c>
      <c r="F13" s="6" t="s">
        <v>12</v>
      </c>
    </row>
    <row r="15" spans="1:6">
      <c r="A15" s="44" t="s">
        <v>13</v>
      </c>
      <c r="B15" s="44"/>
      <c r="C15" s="44"/>
      <c r="D15" s="44"/>
    </row>
    <row r="16" spans="1:6">
      <c r="A16" s="13" t="s">
        <v>14</v>
      </c>
      <c r="B16" s="27">
        <f>50</f>
        <v>50</v>
      </c>
      <c r="C16" s="27">
        <f>50</f>
        <v>50</v>
      </c>
      <c r="D16" s="27">
        <f>50</f>
        <v>50</v>
      </c>
    </row>
    <row r="17" spans="1:6">
      <c r="A17" s="13" t="s">
        <v>15</v>
      </c>
      <c r="B17" s="27">
        <f>40</f>
        <v>40</v>
      </c>
      <c r="C17" s="27">
        <f>40</f>
        <v>40</v>
      </c>
      <c r="D17" s="27">
        <f>40</f>
        <v>40</v>
      </c>
    </row>
    <row r="18" spans="1:6">
      <c r="A18" s="13" t="s">
        <v>16</v>
      </c>
      <c r="B18" s="27">
        <f>45</f>
        <v>45</v>
      </c>
      <c r="C18" s="27">
        <f>45</f>
        <v>45</v>
      </c>
      <c r="D18" s="27">
        <f>45</f>
        <v>45</v>
      </c>
    </row>
    <row r="19" spans="1:6">
      <c r="A19" s="13" t="s">
        <v>17</v>
      </c>
      <c r="B19" s="27">
        <f>1000/3</f>
        <v>333.33333333333331</v>
      </c>
      <c r="C19" s="27">
        <f t="shared" ref="C19:D19" si="3">1000/3</f>
        <v>333.33333333333331</v>
      </c>
      <c r="D19" s="27">
        <f t="shared" si="3"/>
        <v>333.33333333333331</v>
      </c>
    </row>
    <row r="21" spans="1:6">
      <c r="A21" s="44" t="s">
        <v>63</v>
      </c>
      <c r="B21" s="44"/>
      <c r="C21" s="44"/>
      <c r="D21" s="44"/>
    </row>
    <row r="22" spans="1:6">
      <c r="A22" s="17" t="s">
        <v>64</v>
      </c>
      <c r="B22" s="7">
        <v>7543</v>
      </c>
      <c r="C22" s="7">
        <v>8618</v>
      </c>
      <c r="D22" s="7">
        <v>8744</v>
      </c>
    </row>
    <row r="23" spans="1:6">
      <c r="A23" s="17" t="s">
        <v>65</v>
      </c>
      <c r="B23" s="10">
        <v>1140</v>
      </c>
      <c r="C23" s="10">
        <v>86</v>
      </c>
      <c r="D23" s="10">
        <v>0</v>
      </c>
      <c r="E23" s="19"/>
    </row>
    <row r="24" spans="1:6">
      <c r="A24" s="17" t="s">
        <v>22</v>
      </c>
      <c r="B24" s="10">
        <f>(8760-(B22+B23))</f>
        <v>77</v>
      </c>
      <c r="C24" s="10">
        <f t="shared" ref="C24:D24" si="4">(8760-(C22+C23))</f>
        <v>56</v>
      </c>
      <c r="D24" s="10">
        <f t="shared" si="4"/>
        <v>16</v>
      </c>
      <c r="E24" s="19"/>
    </row>
    <row r="25" spans="1:6">
      <c r="A25" s="17" t="s">
        <v>23</v>
      </c>
      <c r="B25" s="7">
        <v>41038.611111111102</v>
      </c>
      <c r="C25" s="7">
        <v>4860.2777777777801</v>
      </c>
      <c r="D25" s="7">
        <v>0</v>
      </c>
    </row>
    <row r="26" spans="1:6" ht="25.15" customHeight="1">
      <c r="A26" s="22" t="s">
        <v>24</v>
      </c>
      <c r="B26" s="27">
        <f>B19*B24</f>
        <v>25666.666666666664</v>
      </c>
      <c r="C26" s="27">
        <f>C19*C24</f>
        <v>18666.666666666664</v>
      </c>
      <c r="D26" s="27">
        <f>D19*D24</f>
        <v>5333.333333333333</v>
      </c>
      <c r="F26" s="25" t="s">
        <v>25</v>
      </c>
    </row>
    <row r="27" spans="1:6" ht="41.45">
      <c r="A27" s="22" t="s">
        <v>26</v>
      </c>
      <c r="B27" s="27">
        <f>(B16*B22+B17*B23+B25+B26)*B13/1000</f>
        <v>4894.5527777777779</v>
      </c>
      <c r="C27" s="27">
        <f t="shared" ref="C27:D27" si="5">(C16*C22+C17*C23+C25+C26)*C13/1000</f>
        <v>4578.6694444444438</v>
      </c>
      <c r="D27" s="27">
        <f t="shared" si="5"/>
        <v>4425.333333333333</v>
      </c>
      <c r="E27" s="20"/>
      <c r="F27" s="25" t="s">
        <v>27</v>
      </c>
    </row>
    <row r="28" spans="1:6" ht="16.149999999999999">
      <c r="A28" s="17" t="s">
        <v>66</v>
      </c>
      <c r="B28" s="40">
        <v>9698.1428571428605</v>
      </c>
      <c r="C28" s="40">
        <v>11080.285714285699</v>
      </c>
      <c r="D28" s="40">
        <v>11242.285714285699</v>
      </c>
    </row>
    <row r="29" spans="1:6" ht="16.149999999999999">
      <c r="A29" s="17" t="s">
        <v>67</v>
      </c>
      <c r="B29" s="40">
        <v>8571.90367346938</v>
      </c>
      <c r="C29" s="40">
        <v>10477.988571428599</v>
      </c>
      <c r="D29" s="40">
        <v>11095.148571428599</v>
      </c>
    </row>
    <row r="31" spans="1:6">
      <c r="A31" s="44" t="s">
        <v>30</v>
      </c>
      <c r="B31" s="44"/>
      <c r="C31" s="44"/>
      <c r="D31" s="44"/>
    </row>
    <row r="32" spans="1:6">
      <c r="A32" s="5" t="s">
        <v>31</v>
      </c>
      <c r="B32" s="7">
        <v>7271</v>
      </c>
      <c r="C32" s="7">
        <v>8303</v>
      </c>
      <c r="D32" s="7">
        <v>8678</v>
      </c>
    </row>
    <row r="33" spans="1:6">
      <c r="A33" s="5" t="s">
        <v>32</v>
      </c>
      <c r="B33" s="7">
        <v>1489</v>
      </c>
      <c r="C33" s="7">
        <v>457</v>
      </c>
      <c r="D33" s="7">
        <v>82</v>
      </c>
    </row>
    <row r="34" spans="1:6" ht="27.6">
      <c r="A34" s="13" t="s">
        <v>68</v>
      </c>
      <c r="B34" s="27">
        <f>(B32*B18+B33*B19)*B13/1000</f>
        <v>8235.2833333333328</v>
      </c>
      <c r="C34" s="27">
        <f t="shared" ref="C34:D34" si="6">(C32*C18+C33*C19)*C13/1000</f>
        <v>5259.6833333333325</v>
      </c>
      <c r="D34" s="27">
        <f t="shared" si="6"/>
        <v>4178.4333333333334</v>
      </c>
      <c r="E34" s="20"/>
      <c r="F34" s="2" t="s">
        <v>34</v>
      </c>
    </row>
    <row r="35" spans="1:6">
      <c r="A35" s="5"/>
      <c r="B35" s="37"/>
      <c r="C35" s="37"/>
      <c r="D35" s="37"/>
    </row>
    <row r="36" spans="1:6">
      <c r="A36" s="42" t="s">
        <v>35</v>
      </c>
      <c r="B36" s="42"/>
      <c r="C36" s="42"/>
      <c r="D36" s="42"/>
      <c r="F36" s="39" t="s">
        <v>36</v>
      </c>
    </row>
    <row r="37" spans="1:6" ht="27.6">
      <c r="A37" s="13" t="s">
        <v>37</v>
      </c>
      <c r="B37" s="30">
        <f>(B6/B12*B13+B6*B9*B13+B27*1000*B5 + B8/B12*B13+B8*B11*B13)/(B13*8760)</f>
        <v>19.983758244545918</v>
      </c>
      <c r="C37" s="30">
        <f t="shared" ref="C37:D37" si="7">(C6/C12*C13+C6*C9*C13+C27*1000*C5 + C8/C12*C13+C8*C11*C13)/(C13*8760)</f>
        <v>19.262563419583966</v>
      </c>
      <c r="D37" s="30">
        <f t="shared" si="7"/>
        <v>18.912480974124808</v>
      </c>
      <c r="F37" s="1" t="s">
        <v>38</v>
      </c>
    </row>
    <row r="38" spans="1:6" ht="27.6">
      <c r="A38" s="13" t="s">
        <v>39</v>
      </c>
      <c r="B38" s="31">
        <f>(B34*1000*B5+B7*B10*B13+B7/B12*B13+B8/B12*B13+B8*B11*B13)/(B13*8760)</f>
        <v>24.148287671232875</v>
      </c>
      <c r="C38" s="31">
        <f t="shared" ref="C38:D38" si="8">(C34*1000*C5+C7*C10*C13+C7/C12*C13+C8/C12*C13+C8*C11*C13)/(C13*8760)</f>
        <v>17.354680365296801</v>
      </c>
      <c r="D38" s="31">
        <f t="shared" si="8"/>
        <v>14.886073059360731</v>
      </c>
      <c r="F38" s="1" t="s">
        <v>40</v>
      </c>
    </row>
    <row r="39" spans="1:6" ht="27.6">
      <c r="A39" s="14" t="s">
        <v>41</v>
      </c>
      <c r="B39" s="30">
        <f>(B6/B12+B6*B9/B12+(B22*B16)*B5+B8/B12+B8*B11/B12)*B13/(B28*B13)</f>
        <v>13.761741325045046</v>
      </c>
      <c r="C39" s="30">
        <f t="shared" ref="C39:D39" si="9">(C6/C12+C6*C9/C12+(C22*C16)*C5+C8/C12+C8*C11/C12)*C13/(C28*C13)</f>
        <v>13.015308183560698</v>
      </c>
      <c r="D39" s="30">
        <f t="shared" si="9"/>
        <v>12.939835993358429</v>
      </c>
      <c r="F39" s="1" t="s">
        <v>42</v>
      </c>
    </row>
    <row r="40" spans="1:6" ht="27.6">
      <c r="A40" s="14" t="s">
        <v>43</v>
      </c>
      <c r="B40" s="30">
        <f>(B6/B12+B6*B9/B12+(B22*B16)*B5+B8/B12+B8*B11/B12)*B13/(B29*B13)</f>
        <v>15.56985920716904</v>
      </c>
      <c r="C40" s="30">
        <f t="shared" ref="C40:D40" si="10">(C6/C12+C6*C9/C12+(C22*C16)*C5+C8/C12+C8*C11/C12)*C13/(C29*C13)</f>
        <v>13.763455872301156</v>
      </c>
      <c r="D40" s="30">
        <f t="shared" si="10"/>
        <v>13.111436263949225</v>
      </c>
      <c r="F40" s="1" t="s">
        <v>44</v>
      </c>
    </row>
    <row r="41" spans="1:6" ht="21.6" customHeight="1">
      <c r="A41" s="14" t="s">
        <v>45</v>
      </c>
      <c r="B41" s="30">
        <f>(B37-B38)*B13*8760/(B29*B13)</f>
        <v>-4.2559131748866665</v>
      </c>
      <c r="C41" s="30">
        <f t="shared" ref="C41:D41" si="11">(C37-C38)*C13*8760/(C29*C13)</f>
        <v>1.595063350338896</v>
      </c>
      <c r="D41" s="30">
        <f t="shared" si="11"/>
        <v>3.1789870235862754</v>
      </c>
      <c r="F41" s="1" t="s">
        <v>46</v>
      </c>
    </row>
    <row r="43" spans="1:6">
      <c r="A43" s="42" t="s">
        <v>47</v>
      </c>
      <c r="B43" s="42"/>
      <c r="C43" s="42"/>
      <c r="D43" s="42"/>
    </row>
    <row r="44" spans="1:6">
      <c r="A44" s="6" t="s">
        <v>69</v>
      </c>
      <c r="B44" s="8">
        <v>0.1</v>
      </c>
      <c r="C44" s="8">
        <v>0.1</v>
      </c>
      <c r="D44" s="8">
        <v>0.05</v>
      </c>
    </row>
    <row r="45" spans="1:6">
      <c r="A45" s="6" t="s">
        <v>49</v>
      </c>
      <c r="B45" s="16">
        <v>5</v>
      </c>
      <c r="C45" s="16">
        <v>5</v>
      </c>
      <c r="D45" s="16">
        <v>6</v>
      </c>
    </row>
    <row r="46" spans="1:6" ht="26.45" customHeight="1">
      <c r="A46" s="24" t="s">
        <v>50</v>
      </c>
      <c r="B46" s="30">
        <f>500000*0.02+500000/B45</f>
        <v>110000</v>
      </c>
      <c r="C46" s="30">
        <f t="shared" ref="C46:D46" si="12">500000*0.02+500000/C45</f>
        <v>110000</v>
      </c>
      <c r="D46" s="30">
        <f t="shared" si="12"/>
        <v>93333.333333333328</v>
      </c>
      <c r="F46" s="4" t="s">
        <v>51</v>
      </c>
    </row>
    <row r="47" spans="1:6" ht="25.15" customHeight="1">
      <c r="A47" s="14" t="s">
        <v>52</v>
      </c>
      <c r="B47" s="30">
        <f>MAX((B38 - B44*B38) - B46*B13/(B13*8760),0)</f>
        <v>9.1763812785388126</v>
      </c>
      <c r="C47" s="30">
        <f t="shared" ref="C47:D47" si="13">MAX((C38 - C44*C38) - C46*C13/(C13*8760),0)</f>
        <v>3.0621347031963442</v>
      </c>
      <c r="D47" s="30">
        <f t="shared" si="13"/>
        <v>3.4872792998477937</v>
      </c>
      <c r="F47" s="1" t="s">
        <v>53</v>
      </c>
    </row>
    <row r="48" spans="1:6" ht="27.6">
      <c r="A48" s="14" t="s">
        <v>54</v>
      </c>
      <c r="B48" s="32">
        <f>B47*B13*8760 + B46*B13</f>
        <v>1903851</v>
      </c>
      <c r="C48" s="30">
        <f t="shared" ref="C48:D48" si="14">C47*C13*8760 + C46*C13</f>
        <v>1368242.9999999998</v>
      </c>
      <c r="D48" s="30">
        <f t="shared" si="14"/>
        <v>1238819</v>
      </c>
      <c r="F48" s="34" t="s">
        <v>55</v>
      </c>
    </row>
    <row r="49" spans="1:6" ht="30" customHeight="1">
      <c r="A49" s="14" t="s">
        <v>56</v>
      </c>
      <c r="B49" s="30">
        <f>B38*8760*B13</f>
        <v>2115390</v>
      </c>
      <c r="C49" s="30">
        <f t="shared" ref="C49:D49" si="15">C38*8760*C13</f>
        <v>1520269.9999999998</v>
      </c>
      <c r="D49" s="30">
        <f t="shared" si="15"/>
        <v>1304020</v>
      </c>
      <c r="F49" s="34" t="s">
        <v>57</v>
      </c>
    </row>
    <row r="50" spans="1:6" ht="30" customHeight="1">
      <c r="A50" s="14" t="s">
        <v>58</v>
      </c>
      <c r="B50" s="41">
        <f>B49-B48</f>
        <v>211539</v>
      </c>
      <c r="C50" s="41">
        <f t="shared" ref="C50:D50" si="16">C49-C48</f>
        <v>152027</v>
      </c>
      <c r="D50" s="41">
        <f t="shared" si="16"/>
        <v>65201</v>
      </c>
      <c r="F50" s="38"/>
    </row>
    <row r="52" spans="1:6">
      <c r="A52" s="42" t="s">
        <v>59</v>
      </c>
      <c r="B52" s="42"/>
      <c r="C52" s="42"/>
      <c r="D52" s="42"/>
    </row>
    <row r="53" spans="1:6" ht="16.149999999999999">
      <c r="A53" s="3" t="s">
        <v>60</v>
      </c>
      <c r="B53" s="7">
        <v>4</v>
      </c>
      <c r="C53" s="7">
        <v>4</v>
      </c>
      <c r="D53" s="7">
        <v>4</v>
      </c>
    </row>
    <row r="54" spans="1:6" ht="19.5" customHeight="1">
      <c r="A54" s="14" t="s">
        <v>61</v>
      </c>
      <c r="B54" s="41">
        <f>B53*B29*B13</f>
        <v>342876.1469387752</v>
      </c>
      <c r="C54" s="41">
        <f t="shared" ref="C54:D54" si="17">C53*C29*C13</f>
        <v>419119.54285714397</v>
      </c>
      <c r="D54" s="41">
        <f t="shared" si="17"/>
        <v>443805.94285714393</v>
      </c>
      <c r="F54" s="2" t="s">
        <v>62</v>
      </c>
    </row>
    <row r="56" spans="1:6" ht="15">
      <c r="F56" s="21"/>
    </row>
    <row r="58" spans="1:6" ht="15">
      <c r="F58" s="21"/>
    </row>
    <row r="60" spans="1:6" ht="15">
      <c r="F60" s="21"/>
    </row>
  </sheetData>
  <mergeCells count="7">
    <mergeCell ref="A52:D52"/>
    <mergeCell ref="A43:D43"/>
    <mergeCell ref="A2:D2"/>
    <mergeCell ref="A15:D15"/>
    <mergeCell ref="A21:D21"/>
    <mergeCell ref="A31:D31"/>
    <mergeCell ref="A36:D3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620A-D007-4C52-9F97-E7D60ACDC485}">
  <dimension ref="A2:F57"/>
  <sheetViews>
    <sheetView topLeftCell="A27" zoomScaleNormal="100" workbookViewId="0">
      <selection activeCell="F43" sqref="F43"/>
    </sheetView>
  </sheetViews>
  <sheetFormatPr defaultColWidth="8.85546875" defaultRowHeight="14.45"/>
  <cols>
    <col min="1" max="1" width="77.28515625" style="3" customWidth="1"/>
    <col min="2" max="2" width="13.28515625" style="7" customWidth="1"/>
    <col min="3" max="4" width="13.42578125" style="7" customWidth="1"/>
    <col min="5" max="5" width="6.7109375" style="3" customWidth="1"/>
    <col min="6" max="6" width="79.5703125" style="3" customWidth="1"/>
    <col min="7" max="16384" width="8.85546875" style="3"/>
  </cols>
  <sheetData>
    <row r="2" spans="1:6">
      <c r="A2" s="42" t="s">
        <v>0</v>
      </c>
      <c r="B2" s="42"/>
      <c r="C2" s="42"/>
      <c r="D2" s="42"/>
    </row>
    <row r="3" spans="1:6">
      <c r="A3" s="17" t="s">
        <v>1</v>
      </c>
      <c r="B3" s="10">
        <v>35</v>
      </c>
      <c r="C3" s="10">
        <v>40</v>
      </c>
      <c r="D3" s="10">
        <v>45</v>
      </c>
    </row>
    <row r="4" spans="1:6">
      <c r="A4" s="17" t="s">
        <v>2</v>
      </c>
      <c r="B4" s="10">
        <v>23</v>
      </c>
      <c r="C4" s="10">
        <v>28</v>
      </c>
      <c r="D4" s="10">
        <v>33</v>
      </c>
    </row>
    <row r="5" spans="1:6">
      <c r="A5" s="17" t="s">
        <v>3</v>
      </c>
      <c r="B5" s="10">
        <v>9.5000000000000001E-2</v>
      </c>
      <c r="C5" s="10">
        <v>9.5000000000000001E-2</v>
      </c>
      <c r="D5" s="10">
        <v>9.5000000000000001E-2</v>
      </c>
    </row>
    <row r="6" spans="1:6">
      <c r="A6" s="13" t="s">
        <v>4</v>
      </c>
      <c r="B6" s="30">
        <f>650000</f>
        <v>650000</v>
      </c>
      <c r="C6" s="30">
        <f>500000</f>
        <v>500000</v>
      </c>
      <c r="D6" s="30">
        <f>500000</f>
        <v>500000</v>
      </c>
    </row>
    <row r="7" spans="1:6">
      <c r="A7" s="13" t="s">
        <v>5</v>
      </c>
      <c r="B7" s="33">
        <f>150000</f>
        <v>150000</v>
      </c>
      <c r="C7" s="33">
        <f t="shared" ref="C7:D7" si="0">150000</f>
        <v>150000</v>
      </c>
      <c r="D7" s="33">
        <f t="shared" si="0"/>
        <v>150000</v>
      </c>
    </row>
    <row r="8" spans="1:6">
      <c r="A8" s="13" t="s">
        <v>6</v>
      </c>
      <c r="B8" s="33">
        <f>350000</f>
        <v>350000</v>
      </c>
      <c r="C8" s="33">
        <f t="shared" ref="C8:D8" si="1">350000</f>
        <v>350000</v>
      </c>
      <c r="D8" s="33">
        <f t="shared" si="1"/>
        <v>350000</v>
      </c>
    </row>
    <row r="9" spans="1:6">
      <c r="A9" s="17" t="s">
        <v>7</v>
      </c>
      <c r="B9" s="16">
        <v>0.02</v>
      </c>
      <c r="C9" s="16">
        <v>0.02</v>
      </c>
      <c r="D9" s="16">
        <v>0.02</v>
      </c>
    </row>
    <row r="10" spans="1:6">
      <c r="A10" s="17" t="s">
        <v>8</v>
      </c>
      <c r="B10" s="16">
        <v>0.02</v>
      </c>
      <c r="C10" s="16">
        <v>0.02</v>
      </c>
      <c r="D10" s="16">
        <v>0.02</v>
      </c>
    </row>
    <row r="11" spans="1:6">
      <c r="A11" s="17" t="s">
        <v>9</v>
      </c>
      <c r="B11" s="16">
        <v>0.03</v>
      </c>
      <c r="C11" s="16">
        <v>0.03</v>
      </c>
      <c r="D11" s="16">
        <v>0.03</v>
      </c>
    </row>
    <row r="12" spans="1:6" ht="15.6" customHeight="1">
      <c r="A12" s="17" t="s">
        <v>10</v>
      </c>
      <c r="B12" s="7">
        <v>15</v>
      </c>
      <c r="C12" s="7">
        <v>15</v>
      </c>
      <c r="D12" s="7">
        <v>15</v>
      </c>
    </row>
    <row r="13" spans="1:6">
      <c r="A13" s="26" t="s">
        <v>11</v>
      </c>
      <c r="B13" s="28">
        <v>10</v>
      </c>
      <c r="C13" s="28">
        <v>10</v>
      </c>
      <c r="D13" s="28">
        <v>10</v>
      </c>
      <c r="F13" s="6" t="s">
        <v>12</v>
      </c>
    </row>
    <row r="15" spans="1:6">
      <c r="A15" s="44" t="s">
        <v>13</v>
      </c>
      <c r="B15" s="44"/>
      <c r="C15" s="44"/>
      <c r="D15" s="44"/>
    </row>
    <row r="16" spans="1:6">
      <c r="A16" s="13" t="s">
        <v>14</v>
      </c>
      <c r="B16" s="27">
        <v>200</v>
      </c>
      <c r="C16" s="27">
        <f>50</f>
        <v>50</v>
      </c>
      <c r="D16" s="27">
        <f>50</f>
        <v>50</v>
      </c>
    </row>
    <row r="17" spans="1:6">
      <c r="A17" s="13" t="s">
        <v>15</v>
      </c>
      <c r="B17" s="27">
        <v>0</v>
      </c>
      <c r="C17" s="27">
        <f>40</f>
        <v>40</v>
      </c>
      <c r="D17" s="27">
        <f>40</f>
        <v>40</v>
      </c>
    </row>
    <row r="18" spans="1:6">
      <c r="A18" s="13" t="s">
        <v>16</v>
      </c>
      <c r="B18" s="27">
        <f>45</f>
        <v>45</v>
      </c>
      <c r="C18" s="27">
        <f>45</f>
        <v>45</v>
      </c>
      <c r="D18" s="27">
        <f>45</f>
        <v>45</v>
      </c>
    </row>
    <row r="19" spans="1:6">
      <c r="A19" s="13" t="s">
        <v>17</v>
      </c>
      <c r="B19" s="27">
        <f>1000/3</f>
        <v>333.33333333333331</v>
      </c>
      <c r="C19" s="27">
        <f t="shared" ref="C19:D19" si="2">1000/3</f>
        <v>333.33333333333331</v>
      </c>
      <c r="D19" s="27">
        <f t="shared" si="2"/>
        <v>333.33333333333331</v>
      </c>
    </row>
    <row r="21" spans="1:6">
      <c r="A21" s="44" t="s">
        <v>70</v>
      </c>
      <c r="B21" s="44"/>
      <c r="C21" s="44"/>
      <c r="D21" s="44"/>
    </row>
    <row r="22" spans="1:6">
      <c r="A22" s="17" t="s">
        <v>64</v>
      </c>
      <c r="B22" s="7">
        <v>8760</v>
      </c>
      <c r="C22" s="7">
        <v>4859</v>
      </c>
      <c r="D22" s="7">
        <v>8573</v>
      </c>
    </row>
    <row r="23" spans="1:6">
      <c r="A23" s="17" t="s">
        <v>65</v>
      </c>
      <c r="B23" s="10">
        <v>0</v>
      </c>
      <c r="C23" s="10">
        <v>3704</v>
      </c>
      <c r="D23" s="10">
        <v>27</v>
      </c>
    </row>
    <row r="24" spans="1:6">
      <c r="A24" s="17" t="s">
        <v>22</v>
      </c>
      <c r="B24" s="10">
        <v>5.35</v>
      </c>
      <c r="C24" s="10">
        <f t="shared" ref="C24:D24" si="3">(8760-(C22+C23))</f>
        <v>197</v>
      </c>
      <c r="D24" s="10">
        <f t="shared" si="3"/>
        <v>160</v>
      </c>
    </row>
    <row r="25" spans="1:6">
      <c r="A25" s="17" t="s">
        <v>23</v>
      </c>
      <c r="B25" s="7">
        <v>14326.715110466001</v>
      </c>
      <c r="C25" s="7">
        <v>108128.33333333299</v>
      </c>
      <c r="D25" s="7">
        <v>2163.8888888888901</v>
      </c>
      <c r="F25" s="23"/>
    </row>
    <row r="26" spans="1:6" ht="34.9" customHeight="1">
      <c r="A26" s="22" t="s">
        <v>24</v>
      </c>
      <c r="B26" s="27">
        <v>1786.38074247748</v>
      </c>
      <c r="C26" s="27">
        <f t="shared" ref="C26:D26" si="4">C19*C24</f>
        <v>65666.666666666657</v>
      </c>
      <c r="D26" s="27">
        <f t="shared" si="4"/>
        <v>53333.333333333328</v>
      </c>
      <c r="F26" s="25" t="s">
        <v>25</v>
      </c>
    </row>
    <row r="27" spans="1:6" ht="43.9" customHeight="1">
      <c r="A27" s="22" t="s">
        <v>26</v>
      </c>
      <c r="B27" s="27">
        <f>(B16*B22+B17*B23+B25+B26)*B13/1000</f>
        <v>17681.130958529437</v>
      </c>
      <c r="C27" s="27">
        <f t="shared" ref="C27:D27" si="5">(C16*C22+C17*C23+C25+C26)*C13/1000</f>
        <v>5649.0499999999965</v>
      </c>
      <c r="D27" s="27">
        <f t="shared" si="5"/>
        <v>4852.2722222222219</v>
      </c>
      <c r="F27" s="25" t="s">
        <v>27</v>
      </c>
    </row>
    <row r="28" spans="1:6" ht="16.149999999999999">
      <c r="A28" s="17" t="s">
        <v>66</v>
      </c>
      <c r="B28" s="40">
        <v>14038.461538461501</v>
      </c>
      <c r="C28" s="40">
        <v>6247.2857142857101</v>
      </c>
      <c r="D28" s="40">
        <v>11022.4285714286</v>
      </c>
    </row>
    <row r="29" spans="1:6" ht="16.149999999999999">
      <c r="A29" s="17" t="s">
        <v>67</v>
      </c>
      <c r="B29" s="40">
        <v>12391.903293908301</v>
      </c>
      <c r="C29" s="40">
        <v>3205.9004081632702</v>
      </c>
      <c r="D29" s="40">
        <v>8929.7791836734505</v>
      </c>
    </row>
    <row r="31" spans="1:6">
      <c r="A31" s="44" t="s">
        <v>30</v>
      </c>
      <c r="B31" s="44"/>
      <c r="C31" s="44"/>
      <c r="D31" s="44"/>
    </row>
    <row r="32" spans="1:6">
      <c r="A32" s="5" t="s">
        <v>31</v>
      </c>
      <c r="B32" s="7">
        <v>427</v>
      </c>
      <c r="C32" s="7">
        <v>4232</v>
      </c>
      <c r="D32" s="7">
        <v>7534</v>
      </c>
    </row>
    <row r="33" spans="1:6">
      <c r="A33" s="5" t="s">
        <v>32</v>
      </c>
      <c r="B33" s="7">
        <v>8333</v>
      </c>
      <c r="C33" s="7">
        <v>4528</v>
      </c>
      <c r="D33" s="7">
        <v>1226</v>
      </c>
    </row>
    <row r="34" spans="1:6" ht="28.15" customHeight="1">
      <c r="A34" s="13" t="s">
        <v>68</v>
      </c>
      <c r="B34" s="27">
        <f>(B32*B18+B33*B19)*B13/1000</f>
        <v>27968.816666666666</v>
      </c>
      <c r="C34" s="27">
        <f t="shared" ref="C34:D34" si="6">(C32*C18+C33*C19)*C13/1000</f>
        <v>16997.733333333334</v>
      </c>
      <c r="D34" s="27">
        <f t="shared" si="6"/>
        <v>7476.9666666666662</v>
      </c>
      <c r="F34" s="2" t="s">
        <v>34</v>
      </c>
    </row>
    <row r="35" spans="1:6">
      <c r="A35" s="5"/>
    </row>
    <row r="36" spans="1:6">
      <c r="A36" s="42" t="s">
        <v>35</v>
      </c>
      <c r="B36" s="42"/>
      <c r="C36" s="42"/>
      <c r="D36" s="42"/>
      <c r="F36" s="39" t="s">
        <v>36</v>
      </c>
    </row>
    <row r="37" spans="1:6" ht="37.9" customHeight="1">
      <c r="A37" s="13" t="s">
        <v>37</v>
      </c>
      <c r="B37" s="30">
        <f>(B6/B12*B13+B6*B9*B13+B27*1000*B5 + B8/B12*B13+B8*B11*B13)/(B13*8760)</f>
        <v>29.467740955787253</v>
      </c>
      <c r="C37" s="30">
        <f t="shared" ref="C37:D37" si="7">(C6/C12*C13+C6*C9*C13+C27*1000*C5 + C8/C12*C13+C8*C11*C13)/(C13*8760)</f>
        <v>14.935233066971076</v>
      </c>
      <c r="D37" s="30">
        <f t="shared" si="7"/>
        <v>14.071147577371892</v>
      </c>
      <c r="F37" s="1" t="s">
        <v>38</v>
      </c>
    </row>
    <row r="38" spans="1:6" ht="40.5" customHeight="1">
      <c r="A38" s="13" t="s">
        <v>39</v>
      </c>
      <c r="B38" s="31">
        <f>(B34*1000*B5+B7*B10*B13+B7/B12*B13+B8/B12*B13+B8*B11*B13)/(B13*8760)</f>
        <v>35.677750190258749</v>
      </c>
      <c r="C38" s="31">
        <f t="shared" ref="C38:D38" si="8">(C34*1000*C5+C7*C10*C13+C7/C12*C13+C8/C12*C13+C8*C11*C13)/(C13*8760)</f>
        <v>23.779885844748854</v>
      </c>
      <c r="D38" s="31">
        <f t="shared" si="8"/>
        <v>13.454853500761033</v>
      </c>
      <c r="F38" s="1" t="s">
        <v>40</v>
      </c>
    </row>
    <row r="39" spans="1:6" ht="46.9" customHeight="1">
      <c r="A39" s="14" t="s">
        <v>41</v>
      </c>
      <c r="B39" s="30">
        <f>(B6/B12+B6*B9/B12+(B22*B16)*B5+B8/B12+B8*B11/B12)*B13/(B28*B13)</f>
        <v>16.716456621004614</v>
      </c>
      <c r="C39" s="30">
        <f t="shared" ref="C39:D39" si="9">(C6/C12+C6*C9/C12+(C22*C16)*C5+C8/C12+C8*C11/C12)*C13/(C28*C13)</f>
        <v>12.983812017409473</v>
      </c>
      <c r="D39" s="30">
        <f t="shared" si="9"/>
        <v>8.9594668446587029</v>
      </c>
      <c r="F39" s="1" t="s">
        <v>42</v>
      </c>
    </row>
    <row r="40" spans="1:6" ht="39" customHeight="1">
      <c r="A40" s="14" t="s">
        <v>43</v>
      </c>
      <c r="B40" s="30">
        <f>(B6/B12+B6*B9/B12+(B22*B16)*B5+B8/B12+B8*B11/B12)*B13/(B29*B13)</f>
        <v>18.937634338116222</v>
      </c>
      <c r="C40" s="30">
        <f t="shared" ref="C40:D40" si="10">(C6/C12+C6*C9/C12+(C22*C16)*C5+C8/C12+C8*C11/C12)*C13/(C29*C13)</f>
        <v>25.301342214746171</v>
      </c>
      <c r="D40" s="30">
        <f t="shared" si="10"/>
        <v>11.059073388274799</v>
      </c>
      <c r="F40" s="1" t="s">
        <v>44</v>
      </c>
    </row>
    <row r="41" spans="1:6" ht="23.45" customHeight="1">
      <c r="A41" s="14" t="s">
        <v>45</v>
      </c>
      <c r="B41" s="30">
        <f>(B37-B38)*B13*8760/(B29*B13)</f>
        <v>-4.3899374941630223</v>
      </c>
      <c r="C41" s="30">
        <f t="shared" ref="C41:D41" si="11">(C37-C38)*C13*8760/(C29*C13)</f>
        <v>-24.167674746241673</v>
      </c>
      <c r="D41" s="30">
        <f t="shared" si="11"/>
        <v>0.60457666422275946</v>
      </c>
      <c r="F41" s="1" t="s">
        <v>46</v>
      </c>
    </row>
    <row r="42" spans="1:6" ht="13.9" customHeight="1"/>
    <row r="43" spans="1:6">
      <c r="A43" s="42" t="s">
        <v>47</v>
      </c>
      <c r="B43" s="42"/>
      <c r="C43" s="42"/>
      <c r="D43" s="42"/>
    </row>
    <row r="44" spans="1:6">
      <c r="A44" s="6" t="s">
        <v>48</v>
      </c>
      <c r="B44" s="8">
        <v>0.1</v>
      </c>
      <c r="C44" s="36">
        <v>0.15</v>
      </c>
      <c r="D44" s="8">
        <v>0.05</v>
      </c>
    </row>
    <row r="45" spans="1:6">
      <c r="A45" s="6" t="s">
        <v>49</v>
      </c>
      <c r="B45" s="16">
        <v>5</v>
      </c>
      <c r="C45" s="16">
        <v>5</v>
      </c>
      <c r="D45" s="16">
        <v>6</v>
      </c>
    </row>
    <row r="46" spans="1:6" ht="21" customHeight="1">
      <c r="A46" s="24" t="s">
        <v>50</v>
      </c>
      <c r="B46" s="30">
        <f>500000*0.02+500000/B45</f>
        <v>110000</v>
      </c>
      <c r="C46" s="30">
        <f t="shared" ref="C46:D46" si="12">500000*0.02+500000/C45</f>
        <v>110000</v>
      </c>
      <c r="D46" s="30">
        <f t="shared" si="12"/>
        <v>93333.333333333328</v>
      </c>
      <c r="F46" s="4" t="s">
        <v>51</v>
      </c>
    </row>
    <row r="47" spans="1:6" ht="28.15" customHeight="1">
      <c r="A47" s="14" t="s">
        <v>52</v>
      </c>
      <c r="B47" s="30">
        <f>MAX((B38 - B44*B38) - B46*B13/(B13*8760),0)</f>
        <v>19.552897545662098</v>
      </c>
      <c r="C47" s="30">
        <f t="shared" ref="C47:D47" si="13">MAX((C38 - C44*C38) - C46*C13/(C13*8760),0)</f>
        <v>7.6558253424657501</v>
      </c>
      <c r="D47" s="30">
        <f t="shared" si="13"/>
        <v>2.1276207191780809</v>
      </c>
      <c r="F47" s="29" t="s">
        <v>71</v>
      </c>
    </row>
    <row r="48" spans="1:6" ht="29.45" customHeight="1">
      <c r="A48" s="14" t="s">
        <v>54</v>
      </c>
      <c r="B48" s="32">
        <f>B47*B13*8760 + B46*B13</f>
        <v>2812833.8249999997</v>
      </c>
      <c r="C48" s="30">
        <f t="shared" ref="C48:D48" si="14">C47*C13*8760 + C46*C13</f>
        <v>1770650.2999999998</v>
      </c>
      <c r="D48" s="30">
        <f t="shared" si="14"/>
        <v>1119712.9083333332</v>
      </c>
      <c r="F48" s="34" t="s">
        <v>55</v>
      </c>
    </row>
    <row r="49" spans="1:6" ht="29.45" customHeight="1">
      <c r="A49" s="14" t="s">
        <v>56</v>
      </c>
      <c r="B49" s="30">
        <f>B38*8760*B13</f>
        <v>3125370.916666666</v>
      </c>
      <c r="C49" s="30">
        <f t="shared" ref="C49:D49" si="15">C38*8760*C13</f>
        <v>2083117.9999999995</v>
      </c>
      <c r="D49" s="30">
        <f t="shared" si="15"/>
        <v>1178645.1666666665</v>
      </c>
      <c r="F49" s="34" t="s">
        <v>57</v>
      </c>
    </row>
    <row r="50" spans="1:6" ht="29.45" customHeight="1">
      <c r="A50" s="14" t="s">
        <v>58</v>
      </c>
      <c r="B50" s="41">
        <f>B49-B48</f>
        <v>312537.09166666633</v>
      </c>
      <c r="C50" s="41">
        <f t="shared" ref="C50:D50" si="16">C49-C48</f>
        <v>312467.69999999972</v>
      </c>
      <c r="D50" s="41">
        <f t="shared" si="16"/>
        <v>58932.258333333302</v>
      </c>
      <c r="F50" s="38"/>
    </row>
    <row r="52" spans="1:6">
      <c r="A52" s="42" t="s">
        <v>59</v>
      </c>
      <c r="B52" s="42"/>
      <c r="C52" s="42"/>
      <c r="D52" s="42"/>
    </row>
    <row r="53" spans="1:6" ht="16.149999999999999">
      <c r="A53" s="6" t="s">
        <v>72</v>
      </c>
      <c r="B53" s="7">
        <v>2</v>
      </c>
      <c r="C53" s="7">
        <v>2</v>
      </c>
      <c r="D53" s="7">
        <v>2</v>
      </c>
    </row>
    <row r="54" spans="1:6" ht="17.25" customHeight="1">
      <c r="A54" s="14" t="s">
        <v>61</v>
      </c>
      <c r="B54" s="41">
        <f>B53*B29*B13</f>
        <v>247838.065878166</v>
      </c>
      <c r="C54" s="41">
        <f t="shared" ref="C54:D54" si="17">C53*C29*C13</f>
        <v>64118.008163265404</v>
      </c>
      <c r="D54" s="41">
        <f t="shared" si="17"/>
        <v>178595.58367346902</v>
      </c>
      <c r="F54" s="2" t="s">
        <v>62</v>
      </c>
    </row>
    <row r="55" spans="1:6">
      <c r="A55" s="14"/>
    </row>
    <row r="56" spans="1:6">
      <c r="A56" s="14"/>
    </row>
    <row r="57" spans="1:6">
      <c r="A57" s="14"/>
    </row>
  </sheetData>
  <mergeCells count="7">
    <mergeCell ref="A52:D52"/>
    <mergeCell ref="A43:D43"/>
    <mergeCell ref="A2:D2"/>
    <mergeCell ref="A15:D15"/>
    <mergeCell ref="A21:D21"/>
    <mergeCell ref="A31:D31"/>
    <mergeCell ref="A36:D3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FB09FCB658C9458FE74BAA909ACD6E" ma:contentTypeVersion="10" ma:contentTypeDescription="Create a new document." ma:contentTypeScope="" ma:versionID="911da65ac498d2119f979f4a923044a8">
  <xsd:schema xmlns:xsd="http://www.w3.org/2001/XMLSchema" xmlns:xs="http://www.w3.org/2001/XMLSchema" xmlns:p="http://schemas.microsoft.com/office/2006/metadata/properties" xmlns:ns1="http://schemas.microsoft.com/sharepoint/v3" xmlns:ns2="50009570-44a4-4bd7-a7e3-050cbebe9cee" targetNamespace="http://schemas.microsoft.com/office/2006/metadata/properties" ma:root="true" ma:fieldsID="3d9ba0f74f668618d12814d89b756f60" ns1:_="" ns2:_="">
    <xsd:import namespace="http://schemas.microsoft.com/sharepoint/v3"/>
    <xsd:import namespace="50009570-44a4-4bd7-a7e3-050cbebe9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09570-44a4-4bd7-a7e3-050cbebe9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2CA47-BB85-4454-96AC-AD3E56DB0887}"/>
</file>

<file path=customXml/itemProps2.xml><?xml version="1.0" encoding="utf-8"?>
<ds:datastoreItem xmlns:ds="http://schemas.openxmlformats.org/officeDocument/2006/customXml" ds:itemID="{20EBB3DD-F402-4945-962F-B05A144B6532}"/>
</file>

<file path=customXml/itemProps3.xml><?xml version="1.0" encoding="utf-8"?>
<ds:datastoreItem xmlns:ds="http://schemas.openxmlformats.org/officeDocument/2006/customXml" ds:itemID="{5398B9C9-4F1E-4894-80B7-4AC06108477E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RISHABH</dc:creator>
  <cp:keywords/>
  <dc:description/>
  <cp:lastModifiedBy>Rishabh Srivastava</cp:lastModifiedBy>
  <cp:revision/>
  <dcterms:created xsi:type="dcterms:W3CDTF">2015-06-05T18:17:20Z</dcterms:created>
  <dcterms:modified xsi:type="dcterms:W3CDTF">2026-02-06T04:45:06Z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0x01010015FB09FCB658C9458FE74BAA909ACD6E</vt:lpwstr>
  </property>
</Properties>
</file>