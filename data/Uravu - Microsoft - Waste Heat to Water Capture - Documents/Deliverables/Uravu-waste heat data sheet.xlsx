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icrosoft.sharepoint.com/teams/Uravu-Microsoft-WasteHeattoWaterCapture/Shared Documents/Deliverables/"/>
    </mc:Choice>
  </mc:AlternateContent>
  <xr:revisionPtr revIDLastSave="397" documentId="11_F25DC773A252ABDACC104898D1DA6C545ADE58E4" xr6:coauthVersionLast="47" xr6:coauthVersionMax="47" xr10:uidLastSave="{4032330F-5810-4AA1-8FBF-844E78D9D00F}"/>
  <bookViews>
    <workbookView xWindow="-110" yWindow="-110" windowWidth="25180" windowHeight="16140" activeTab="1" xr2:uid="{00000000-000D-0000-FFFF-FFFF00000000}"/>
  </bookViews>
  <sheets>
    <sheet name="Phoenix" sheetId="1" r:id="rId1"/>
    <sheet name="Chicago" sheetId="2" r:id="rId2"/>
    <sheet name="Houston" sheetId="3" r:id="rId3"/>
    <sheet name="Seattle" sheetId="4" r:id="rId4"/>
    <sheet name="Frankfurt" sheetId="5" r:id="rId5"/>
    <sheet name="Madrid" sheetId="6" r:id="rId6"/>
    <sheet name="London" sheetId="7" r:id="rId7"/>
    <sheet name="Stockholm" sheetId="8" r:id="rId8"/>
    <sheet name="Hyderabad" sheetId="9" r:id="rId9"/>
    <sheet name="Bengaluru" sheetId="10" r:id="rId10"/>
    <sheet name="Mumbai" sheetId="11" r:id="rId11"/>
    <sheet name="New Delhi" sheetId="12" r:id="rId12"/>
    <sheet name="Chennai" sheetId="13" r:id="rId13"/>
    <sheet name="Singapore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5" l="1"/>
  <c r="B71" i="5"/>
  <c r="H71" i="8"/>
  <c r="G71" i="8"/>
  <c r="F71" i="8"/>
  <c r="E71" i="8"/>
  <c r="D71" i="8"/>
  <c r="C71" i="8"/>
  <c r="B71" i="8"/>
  <c r="H70" i="8"/>
  <c r="G70" i="8"/>
  <c r="F70" i="8"/>
  <c r="E70" i="8"/>
  <c r="D70" i="8"/>
  <c r="C70" i="8"/>
  <c r="B70" i="8"/>
  <c r="B70" i="7"/>
  <c r="C70" i="7"/>
  <c r="D70" i="7"/>
  <c r="E70" i="7"/>
  <c r="F70" i="7"/>
  <c r="G70" i="7"/>
  <c r="H70" i="7"/>
  <c r="B71" i="7"/>
  <c r="C71" i="7"/>
  <c r="D71" i="7"/>
  <c r="E71" i="7"/>
  <c r="F71" i="7"/>
  <c r="G71" i="7"/>
  <c r="H71" i="7"/>
  <c r="H71" i="6"/>
  <c r="G71" i="6"/>
  <c r="F71" i="6"/>
  <c r="E71" i="6"/>
  <c r="D71" i="6"/>
  <c r="C71" i="6"/>
  <c r="B71" i="6"/>
  <c r="H70" i="6"/>
  <c r="G70" i="6"/>
  <c r="F70" i="6"/>
  <c r="E70" i="6"/>
  <c r="D70" i="6"/>
  <c r="C70" i="6"/>
  <c r="B70" i="6"/>
  <c r="H71" i="5"/>
  <c r="G71" i="5"/>
  <c r="F71" i="5"/>
  <c r="E71" i="5"/>
  <c r="D71" i="5"/>
  <c r="C71" i="5"/>
  <c r="H70" i="5"/>
  <c r="G70" i="5"/>
  <c r="F70" i="5"/>
  <c r="E70" i="5"/>
  <c r="D70" i="5"/>
  <c r="C70" i="5"/>
  <c r="H71" i="4"/>
  <c r="G71" i="4"/>
  <c r="F71" i="4"/>
  <c r="E71" i="4"/>
  <c r="D71" i="4"/>
  <c r="C71" i="4"/>
  <c r="B71" i="4"/>
  <c r="H70" i="4"/>
  <c r="G70" i="4"/>
  <c r="F70" i="4"/>
  <c r="E70" i="4"/>
  <c r="D70" i="4"/>
  <c r="C70" i="4"/>
  <c r="B70" i="4"/>
  <c r="H71" i="3"/>
  <c r="G71" i="3"/>
  <c r="F71" i="3"/>
  <c r="E71" i="3"/>
  <c r="D71" i="3"/>
  <c r="C71" i="3"/>
  <c r="B71" i="3"/>
  <c r="H70" i="3"/>
  <c r="G70" i="3"/>
  <c r="F70" i="3"/>
  <c r="E70" i="3"/>
  <c r="D70" i="3"/>
  <c r="C70" i="3"/>
  <c r="B70" i="3"/>
  <c r="H71" i="2"/>
  <c r="G71" i="2"/>
  <c r="F71" i="2"/>
  <c r="E71" i="2"/>
  <c r="D71" i="2"/>
  <c r="C71" i="2"/>
  <c r="B71" i="2"/>
  <c r="H70" i="2"/>
  <c r="G70" i="2"/>
  <c r="F70" i="2"/>
  <c r="E70" i="2"/>
  <c r="D70" i="2"/>
  <c r="C70" i="2"/>
  <c r="B70" i="2"/>
</calcChain>
</file>

<file path=xl/sharedStrings.xml><?xml version="1.0" encoding="utf-8"?>
<sst xmlns="http://schemas.openxmlformats.org/spreadsheetml/2006/main" count="1680" uniqueCount="65">
  <si>
    <t>------------------------------------------------------------------</t>
  </si>
  <si>
    <t>Uravu Final strategic &amp; Techno-Economic Evaluation Report for Uravu-waste heat system</t>
  </si>
  <si>
    <t>--------Input parameters-------------</t>
  </si>
  <si>
    <t>Variable</t>
  </si>
  <si>
    <t>Value</t>
  </si>
  <si>
    <t>Facility water inlet temperature(deg C)</t>
  </si>
  <si>
    <t>Cooling Requirement (deg C)</t>
  </si>
  <si>
    <t>Electricity cost ($/kWh)</t>
  </si>
  <si>
    <t>CAPEX ($)</t>
  </si>
  <si>
    <t>Ammortization period (years)</t>
  </si>
  <si>
    <t>Boiling Point elevation (deg C)</t>
  </si>
  <si>
    <t>Mass flow rate of facility water (kg/s)</t>
  </si>
  <si>
    <t>----------------Uravu System Performance &amp; Power-------------</t>
  </si>
  <si>
    <t>Max Production (Heat Limited) (kg/hr)</t>
  </si>
  <si>
    <t>Rated Power (Normal Operation) (kW)</t>
  </si>
  <si>
    <t>Rated Power (with Pre-Cooling) (kW)</t>
  </si>
  <si>
    <t>Uravu electrical consumption (kWh)</t>
  </si>
  <si>
    <t>System Downtime Trigger (WBT) (deg C)</t>
  </si>
  <si>
    <t>Vapor Temperature (deg C)</t>
  </si>
  <si>
    <t>Facility water outlet temperature (deg C)</t>
  </si>
  <si>
    <t>Hours evaporative cooler is operational for facility water</t>
  </si>
  <si>
    <t>Hours chiller is operational for facility water cooling</t>
  </si>
  <si>
    <t>Total downtime due to WBT trigger</t>
  </si>
  <si>
    <t>Total downtine due to high water usage</t>
  </si>
  <si>
    <t>Annual Downtime Hours (hr)</t>
  </si>
  <si>
    <t>Reduction in chiller load (%)</t>
  </si>
  <si>
    <t>---------------------Annual Water Balance (tonnes/year)-------------------------</t>
  </si>
  <si>
    <t>Gross water produced (m³/MW/year)</t>
  </si>
  <si>
    <t>water used for pre-cooling in Uravu (m³/MW/year)</t>
  </si>
  <si>
    <t>Water used for cooling faciltiy water (m³/MW/year)</t>
  </si>
  <si>
    <t>Net Water Delivered to Customer (m³/MW/year)</t>
  </si>
  <si>
    <t>----------------Tier Mixed-Mode Baseline Analysis (The "Avoided Cost")-------------</t>
  </si>
  <si>
    <t>Tier 1 (Free Cooling) Trigger:DBT &lt;=</t>
  </si>
  <si>
    <t>Hours Dry Cooler is Sufficient</t>
  </si>
  <si>
    <t>Hours Air-cooled Chiller Required</t>
  </si>
  <si>
    <t>Electricity Cost ($)</t>
  </si>
  <si>
    <t>Total annualized cost (Uravu + Air cooled chiller ($/MW)</t>
  </si>
  <si>
    <t>Total avoided Cost (dry cooler + Air cooled chiller($/MW))</t>
  </si>
  <si>
    <t>Total avoided cost (Air-cooled chiller($/MW))</t>
  </si>
  <si>
    <t>----------------Final Financials ($/MW) &amp; Levelized Cost of Water ($/m³)-------------</t>
  </si>
  <si>
    <t>Total Annualized Uravu Cost</t>
  </si>
  <si>
    <t xml:space="preserve">Net Cost Allocated to Water (Dry cooler + Air cooled chiller) </t>
  </si>
  <si>
    <t>Net cost allocated to water (Air-cooled chiller)</t>
  </si>
  <si>
    <t>NVW (Gross Production)</t>
  </si>
  <si>
    <t>NVW (Net Delivered, No Credit)</t>
  </si>
  <si>
    <t>Fair NVW (Dry cooler + Air cooled chiller)</t>
  </si>
  <si>
    <t>Fair NVW (Air cooled chiller)</t>
  </si>
  <si>
    <t>----------------Annual power consumption (kWh), PUE, and WUE (L/kWh)---------------</t>
  </si>
  <si>
    <t>Total Annualized Uravu Power consumption</t>
  </si>
  <si>
    <t>Stand-alone air-cooled chiller power consumption</t>
  </si>
  <si>
    <t>Stand-alone dry cooler + air-cooled chiller power consumption</t>
  </si>
  <si>
    <t>PUE_uravu</t>
  </si>
  <si>
    <t>PUE_chiller_standalone</t>
  </si>
  <si>
    <t>PUE_dry_cooler_chiller</t>
  </si>
  <si>
    <t>WUE</t>
  </si>
  <si>
    <t>Grid CO₂ (kg/kWh)</t>
  </si>
  <si>
    <t>Grid water (L/kWh)</t>
  </si>
  <si>
    <t>Uravu water foot print (m3/year)</t>
  </si>
  <si>
    <t>Uravu CO2 emission (tCO₂/yr)</t>
  </si>
  <si>
    <t>Cooling tower + Air cooled chiller mixed mode analysis</t>
  </si>
  <si>
    <t>Hours Cooling is Sufficient</t>
  </si>
  <si>
    <t>Stand-alonecooling tower + air-cooled chiller power consumption</t>
  </si>
  <si>
    <t>PUE_Cooling_tower_chiller</t>
  </si>
  <si>
    <t>Fair NVW (Dry cooler + Air cooled chiller) ($/m3)</t>
  </si>
  <si>
    <t>Stand-alonecooling tower + air-cooled chiller power consumption (kwh/year)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</si>
</sst>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1F4E78"/>
      <name val="Calibri"/>
    </font>
    <font>
      <b/>
      <sz val="11"/>
      <color rgb="FF00B050"/>
      <name val="Calibri"/>
    </font>
    <font>
      <b/>
      <sz val="11"/>
      <name val="Calibri"/>
    </font>
    <font>
      <b/>
      <sz val="11"/>
      <color rgb="FF00008B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8B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opLeftCell="A66" workbookViewId="0">
      <selection activeCell="B81" sqref="B81:G87"/>
    </sheetView>
  </sheetViews>
  <sheetFormatPr defaultRowHeight="14.5" x14ac:dyDescent="0.35"/>
  <cols>
    <col min="1" max="1" width="66.816406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4" t="s">
        <v>5</v>
      </c>
      <c r="B8" s="5">
        <v>30</v>
      </c>
      <c r="C8" s="5">
        <v>35</v>
      </c>
      <c r="D8" s="5">
        <v>40</v>
      </c>
      <c r="E8" s="5">
        <v>45</v>
      </c>
      <c r="F8" s="5">
        <v>50</v>
      </c>
      <c r="G8" s="5">
        <v>55</v>
      </c>
      <c r="H8" s="5">
        <v>60</v>
      </c>
    </row>
    <row r="9" spans="1:8" x14ac:dyDescent="0.35">
      <c r="A9" s="4" t="s">
        <v>6</v>
      </c>
      <c r="B9" s="5">
        <v>18</v>
      </c>
      <c r="C9" s="5">
        <v>23</v>
      </c>
      <c r="D9" s="5">
        <v>28</v>
      </c>
      <c r="E9" s="5">
        <v>33</v>
      </c>
      <c r="F9" s="5">
        <v>38</v>
      </c>
      <c r="G9" s="5">
        <v>43</v>
      </c>
      <c r="H9" s="5">
        <v>48</v>
      </c>
    </row>
    <row r="10" spans="1:8" x14ac:dyDescent="0.35">
      <c r="A10" s="4" t="s">
        <v>7</v>
      </c>
      <c r="B10" s="5">
        <v>0.13</v>
      </c>
      <c r="C10" s="5">
        <v>0.13</v>
      </c>
      <c r="D10" s="5">
        <v>0.13</v>
      </c>
      <c r="E10" s="5">
        <v>0.13</v>
      </c>
      <c r="F10" s="5">
        <v>0.13</v>
      </c>
      <c r="G10" s="5">
        <v>0.13</v>
      </c>
      <c r="H10" s="5">
        <v>0.13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4" t="s">
        <v>16</v>
      </c>
      <c r="B21" s="5">
        <v>13662.07169142913</v>
      </c>
      <c r="C21" s="5">
        <v>26727.231776002209</v>
      </c>
      <c r="D21" s="5">
        <v>36681.155012572119</v>
      </c>
      <c r="E21" s="5">
        <v>43331.824363425258</v>
      </c>
      <c r="F21" s="5">
        <v>43761.055497139278</v>
      </c>
      <c r="G21" s="5">
        <v>43974.163462853438</v>
      </c>
      <c r="H21" s="5">
        <v>44198.503428567587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330</v>
      </c>
      <c r="C25">
        <v>1263</v>
      </c>
      <c r="D25">
        <v>1817</v>
      </c>
      <c r="E25">
        <v>1690</v>
      </c>
      <c r="F25">
        <v>661</v>
      </c>
      <c r="G25">
        <v>96</v>
      </c>
      <c r="H25">
        <v>0</v>
      </c>
    </row>
    <row r="26" spans="1:8" x14ac:dyDescent="0.35">
      <c r="A26" t="s">
        <v>21</v>
      </c>
      <c r="B26">
        <v>119</v>
      </c>
      <c r="C26">
        <v>866</v>
      </c>
      <c r="D26">
        <v>1349</v>
      </c>
      <c r="E26">
        <v>1147</v>
      </c>
      <c r="F26">
        <v>340</v>
      </c>
      <c r="G26">
        <v>23</v>
      </c>
      <c r="H26">
        <v>0</v>
      </c>
    </row>
    <row r="27" spans="1:8" x14ac:dyDescent="0.35">
      <c r="A27" s="4" t="s">
        <v>22</v>
      </c>
      <c r="B27" s="5">
        <v>5964</v>
      </c>
      <c r="C27" s="5">
        <v>3430</v>
      </c>
      <c r="D27" s="5">
        <v>1470</v>
      </c>
      <c r="E27" s="5">
        <v>3</v>
      </c>
      <c r="F27" s="5">
        <v>0</v>
      </c>
      <c r="G27" s="5">
        <v>0</v>
      </c>
      <c r="H27" s="5">
        <v>0</v>
      </c>
    </row>
    <row r="28" spans="1:8" x14ac:dyDescent="0.35">
      <c r="A28" t="s">
        <v>23</v>
      </c>
      <c r="B28">
        <v>141</v>
      </c>
      <c r="C28">
        <v>136</v>
      </c>
      <c r="D28">
        <v>144</v>
      </c>
      <c r="E28">
        <v>184</v>
      </c>
      <c r="F28">
        <v>100</v>
      </c>
      <c r="G28">
        <v>55</v>
      </c>
      <c r="H28">
        <v>10</v>
      </c>
    </row>
    <row r="29" spans="1:8" x14ac:dyDescent="0.35">
      <c r="A29" s="4" t="s">
        <v>24</v>
      </c>
      <c r="B29" s="5">
        <v>6105</v>
      </c>
      <c r="C29" s="5">
        <v>3566</v>
      </c>
      <c r="D29" s="5">
        <v>1614</v>
      </c>
      <c r="E29" s="5">
        <v>187</v>
      </c>
      <c r="F29" s="5">
        <v>100</v>
      </c>
      <c r="G29" s="5">
        <v>55</v>
      </c>
      <c r="H29" s="5">
        <v>10</v>
      </c>
    </row>
    <row r="30" spans="1:8" x14ac:dyDescent="0.35">
      <c r="A30" s="4" t="s">
        <v>25</v>
      </c>
      <c r="B30" s="5">
        <v>28.94977168949772</v>
      </c>
      <c r="C30" s="5">
        <v>49.406392694063918</v>
      </c>
      <c r="D30" s="5">
        <v>66.175799086757991</v>
      </c>
      <c r="E30" s="5">
        <v>84.771689497716892</v>
      </c>
      <c r="F30" s="5">
        <v>94.977168949771681</v>
      </c>
      <c r="G30" s="5">
        <v>99.109589041095887</v>
      </c>
      <c r="H30" s="5">
        <v>99.885844748858446</v>
      </c>
    </row>
    <row r="32" spans="1:8" x14ac:dyDescent="0.35">
      <c r="A32" s="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3413.571428571428</v>
      </c>
      <c r="C34">
        <v>6677.9999999999991</v>
      </c>
      <c r="D34">
        <v>9187.7142857142844</v>
      </c>
      <c r="E34">
        <v>11022.428571428571</v>
      </c>
      <c r="F34">
        <v>11134.28571428571</v>
      </c>
      <c r="G34">
        <v>11192.142857142861</v>
      </c>
      <c r="H34">
        <v>11250</v>
      </c>
    </row>
    <row r="35" spans="1:8" x14ac:dyDescent="0.35">
      <c r="A35" t="s">
        <v>28</v>
      </c>
      <c r="B35">
        <v>1835.7685714285619</v>
      </c>
      <c r="C35">
        <v>3394.1571428572129</v>
      </c>
      <c r="D35">
        <v>4524.788571428523</v>
      </c>
      <c r="E35">
        <v>4608.8742857142552</v>
      </c>
      <c r="F35">
        <v>3031.4314285712012</v>
      </c>
      <c r="G35">
        <v>2119.3714285716551</v>
      </c>
      <c r="H35">
        <v>1023.042857142942</v>
      </c>
    </row>
    <row r="36" spans="1:8" x14ac:dyDescent="0.35">
      <c r="A36" t="s">
        <v>29</v>
      </c>
      <c r="B36">
        <v>64.836734693877062</v>
      </c>
      <c r="C36">
        <v>295.93469387755528</v>
      </c>
      <c r="D36">
        <v>436.55510204080298</v>
      </c>
      <c r="E36">
        <v>391.19999999999231</v>
      </c>
      <c r="F36">
        <v>145.87346938775411</v>
      </c>
      <c r="G36">
        <v>16.836734693877521</v>
      </c>
      <c r="H36">
        <v>0</v>
      </c>
    </row>
    <row r="37" spans="1:8" x14ac:dyDescent="0.35">
      <c r="A37" s="4" t="s">
        <v>30</v>
      </c>
      <c r="B37" s="5">
        <v>1512.9661224489889</v>
      </c>
      <c r="C37" s="5">
        <v>2987.908163265231</v>
      </c>
      <c r="D37" s="5">
        <v>4226.3706122449576</v>
      </c>
      <c r="E37" s="5">
        <v>6022.3542857143229</v>
      </c>
      <c r="F37" s="5">
        <v>7956.9808163267562</v>
      </c>
      <c r="G37" s="5">
        <v>9055.9346938773233</v>
      </c>
      <c r="H37" s="5">
        <v>10226.95714285706</v>
      </c>
    </row>
    <row r="39" spans="1:8" x14ac:dyDescent="0.35">
      <c r="A39" s="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1742</v>
      </c>
      <c r="C42">
        <v>3170</v>
      </c>
      <c r="D42">
        <v>4483</v>
      </c>
      <c r="E42">
        <v>5918</v>
      </c>
      <c r="F42">
        <v>7351</v>
      </c>
      <c r="G42">
        <v>8285</v>
      </c>
      <c r="H42">
        <v>8709</v>
      </c>
    </row>
    <row r="43" spans="1:8" x14ac:dyDescent="0.35">
      <c r="A43" t="s">
        <v>34</v>
      </c>
      <c r="B43">
        <v>7018</v>
      </c>
      <c r="C43">
        <v>5590</v>
      </c>
      <c r="D43">
        <v>4277</v>
      </c>
      <c r="E43">
        <v>2842</v>
      </c>
      <c r="F43">
        <v>1409</v>
      </c>
      <c r="G43">
        <v>475</v>
      </c>
      <c r="H43">
        <v>51</v>
      </c>
    </row>
    <row r="44" spans="1:8" x14ac:dyDescent="0.35">
      <c r="A44" t="s">
        <v>35</v>
      </c>
      <c r="B44">
        <v>314304.03333331889</v>
      </c>
      <c r="C44">
        <v>260777.83333336201</v>
      </c>
      <c r="D44">
        <v>211562.21666668629</v>
      </c>
      <c r="E44">
        <v>157773.63333334471</v>
      </c>
      <c r="F44">
        <v>104060.01666668151</v>
      </c>
      <c r="G44">
        <v>69050.583333330884</v>
      </c>
      <c r="H44">
        <v>53157.649999992063</v>
      </c>
    </row>
    <row r="45" spans="1:8" x14ac:dyDescent="0.35">
      <c r="A45" s="4" t="s">
        <v>36</v>
      </c>
      <c r="B45" s="5">
        <v>359993.04166666663</v>
      </c>
      <c r="C45" s="5">
        <v>276026.94444444438</v>
      </c>
      <c r="D45" s="5">
        <v>210915.54166666669</v>
      </c>
      <c r="E45" s="5">
        <v>156147.98611111109</v>
      </c>
      <c r="F45" s="5">
        <v>141446.25</v>
      </c>
      <c r="G45" s="5">
        <v>136293.375</v>
      </c>
      <c r="H45" s="5">
        <v>134475</v>
      </c>
    </row>
    <row r="46" spans="1:8" x14ac:dyDescent="0.35">
      <c r="A46" s="4" t="s">
        <v>37</v>
      </c>
      <c r="B46" s="5">
        <v>356804.03333331889</v>
      </c>
      <c r="C46" s="5">
        <v>303277.83333336201</v>
      </c>
      <c r="D46" s="5">
        <v>254062.21666668629</v>
      </c>
      <c r="E46" s="5">
        <v>200273.63333334471</v>
      </c>
      <c r="F46" s="5">
        <v>146560.01666668151</v>
      </c>
      <c r="G46" s="5">
        <v>111550.5833333309</v>
      </c>
      <c r="H46" s="5">
        <v>95657.649999992063</v>
      </c>
    </row>
    <row r="47" spans="1:8" x14ac:dyDescent="0.35">
      <c r="A47" s="4" t="s">
        <v>38</v>
      </c>
      <c r="B47" s="5">
        <v>413433.33333333331</v>
      </c>
      <c r="C47" s="5">
        <v>413433.33333333331</v>
      </c>
      <c r="D47" s="5">
        <v>413433.33333333331</v>
      </c>
      <c r="E47" s="5">
        <v>413433.33333333331</v>
      </c>
      <c r="F47" s="5">
        <v>413433.33333333331</v>
      </c>
      <c r="G47" s="5">
        <v>413433.33333333331</v>
      </c>
      <c r="H47" s="5">
        <v>413433.33333333331</v>
      </c>
    </row>
    <row r="49" spans="1:8" x14ac:dyDescent="0.35">
      <c r="A49" s="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60590.833333333343</v>
      </c>
      <c r="C51">
        <v>77094.333333333343</v>
      </c>
      <c r="D51">
        <v>89782.333333333343</v>
      </c>
      <c r="E51">
        <v>99057.833333333343</v>
      </c>
      <c r="F51">
        <v>99623.333333333343</v>
      </c>
      <c r="G51">
        <v>99915.833333333343</v>
      </c>
      <c r="H51">
        <v>100208.3333333333</v>
      </c>
    </row>
    <row r="52" spans="1:8" x14ac:dyDescent="0.35">
      <c r="A52" t="s">
        <v>41</v>
      </c>
      <c r="B52">
        <v>3189.0083333477378</v>
      </c>
      <c r="C52">
        <v>-27250.888888917569</v>
      </c>
      <c r="D52">
        <v>-43146.675000019553</v>
      </c>
      <c r="E52">
        <v>-44125.647222233558</v>
      </c>
      <c r="F52">
        <v>-5113.7666666815348</v>
      </c>
      <c r="G52">
        <v>24742.79166666912</v>
      </c>
      <c r="H52">
        <v>38817.350000007937</v>
      </c>
    </row>
    <row r="53" spans="1:8" x14ac:dyDescent="0.35">
      <c r="A53" t="s">
        <v>42</v>
      </c>
      <c r="B53">
        <v>-53440.291666666693</v>
      </c>
      <c r="C53">
        <v>-137406.38888888891</v>
      </c>
      <c r="D53">
        <v>-202517.7916666666</v>
      </c>
      <c r="E53">
        <v>-257285.34722222219</v>
      </c>
      <c r="F53">
        <v>-271987.08333333331</v>
      </c>
      <c r="G53">
        <v>-277139.95833333331</v>
      </c>
      <c r="H53">
        <v>-278958.33333333331</v>
      </c>
    </row>
    <row r="54" spans="1:8" x14ac:dyDescent="0.35">
      <c r="A54" t="s">
        <v>43</v>
      </c>
      <c r="B54">
        <v>17.74998256260027</v>
      </c>
      <c r="C54">
        <v>11.54452430867525</v>
      </c>
      <c r="D54">
        <v>9.7719988390293473</v>
      </c>
      <c r="E54">
        <v>8.9869335683519758</v>
      </c>
      <c r="F54">
        <v>8.9474382003250383</v>
      </c>
      <c r="G54">
        <v>8.9273193354181295</v>
      </c>
      <c r="H54">
        <v>8.9074074074074101</v>
      </c>
    </row>
    <row r="55" spans="1:8" x14ac:dyDescent="0.35">
      <c r="A55" s="12" t="s">
        <v>44</v>
      </c>
      <c r="B55" s="5">
        <v>40.047713186899998</v>
      </c>
      <c r="C55" s="5">
        <v>25.802109409240838</v>
      </c>
      <c r="D55" s="5">
        <v>21.243364950818371</v>
      </c>
      <c r="E55" s="5">
        <v>16.448357010199359</v>
      </c>
      <c r="F55" s="5">
        <v>12.52024299580042</v>
      </c>
      <c r="G55" s="5">
        <v>11.033188368825799</v>
      </c>
      <c r="H55" s="5">
        <v>9.7984505003351003</v>
      </c>
    </row>
    <row r="56" spans="1:8" x14ac:dyDescent="0.35">
      <c r="A56" s="12" t="s">
        <v>45</v>
      </c>
      <c r="B56" s="5">
        <v>2.1077856840480962</v>
      </c>
      <c r="C56" s="5">
        <v>-9.1203903868107474</v>
      </c>
      <c r="D56" s="5">
        <v>-10.208918942179791</v>
      </c>
      <c r="E56" s="5">
        <v>-7.3269763167046431</v>
      </c>
      <c r="F56" s="5">
        <v>-0.64267676204380286</v>
      </c>
      <c r="G56" s="5">
        <v>2.732218429467872</v>
      </c>
      <c r="H56" s="5">
        <v>3.7955913433273389</v>
      </c>
    </row>
    <row r="57" spans="1:8" x14ac:dyDescent="0.35">
      <c r="A57" s="12" t="s">
        <v>46</v>
      </c>
      <c r="B57" s="5">
        <v>-35.321538845935713</v>
      </c>
      <c r="C57" s="5">
        <v>-45.987487359293233</v>
      </c>
      <c r="D57" s="5">
        <v>-47.917660386885338</v>
      </c>
      <c r="E57" s="5">
        <v>-42.721722272721628</v>
      </c>
      <c r="F57" s="5">
        <v>-34.182196691394417</v>
      </c>
      <c r="G57" s="5">
        <v>-30.603131283699121</v>
      </c>
      <c r="H57" s="5">
        <v>-27.276767609040949</v>
      </c>
    </row>
    <row r="59" spans="1:8" x14ac:dyDescent="0.35">
      <c r="A59" s="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2175587.5</v>
      </c>
      <c r="C61">
        <v>1529694.444444444</v>
      </c>
      <c r="D61">
        <v>1028837.5</v>
      </c>
      <c r="E61">
        <v>607548.61111111124</v>
      </c>
      <c r="F61">
        <v>494458.33333333337</v>
      </c>
      <c r="G61">
        <v>454820.83333333331</v>
      </c>
      <c r="H61">
        <v>440833.33333333331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2417723.333333333</v>
      </c>
      <c r="C63">
        <v>2005983.333333333</v>
      </c>
      <c r="D63">
        <v>1627401.666666667</v>
      </c>
      <c r="E63">
        <v>1213643.333333333</v>
      </c>
      <c r="F63">
        <v>800461.66666666674</v>
      </c>
      <c r="G63">
        <v>531158.33333333337</v>
      </c>
      <c r="H63">
        <v>408905</v>
      </c>
    </row>
    <row r="64" spans="1:8" x14ac:dyDescent="0.35">
      <c r="A64" s="4" t="s">
        <v>51</v>
      </c>
      <c r="B64" s="5">
        <v>1.248354737442922</v>
      </c>
      <c r="C64" s="5">
        <v>1.174622653475393</v>
      </c>
      <c r="D64" s="5">
        <v>1.1174472031963469</v>
      </c>
      <c r="E64" s="5">
        <v>1.06935486428209</v>
      </c>
      <c r="F64" s="5">
        <v>1.0564450152206999</v>
      </c>
      <c r="G64" s="5">
        <v>1.051920186453577</v>
      </c>
      <c r="H64" s="5">
        <v>1.050323439878234</v>
      </c>
    </row>
    <row r="65" spans="1:8" x14ac:dyDescent="0.35">
      <c r="A65" s="4" t="s">
        <v>52</v>
      </c>
      <c r="B65" s="5">
        <v>1.333333333333333</v>
      </c>
      <c r="C65" s="5">
        <v>1.333333333333333</v>
      </c>
      <c r="D65" s="5">
        <v>1.333333333333333</v>
      </c>
      <c r="E65" s="5">
        <v>1.333333333333333</v>
      </c>
      <c r="F65" s="5">
        <v>1.333333333333333</v>
      </c>
      <c r="G65" s="5">
        <v>1.333333333333333</v>
      </c>
      <c r="H65" s="5">
        <v>1.333333333333333</v>
      </c>
    </row>
    <row r="66" spans="1:8" x14ac:dyDescent="0.35">
      <c r="A66" s="4" t="s">
        <v>53</v>
      </c>
      <c r="B66" s="5">
        <v>1.2759958143074579</v>
      </c>
      <c r="C66" s="5">
        <v>1.2289935312024349</v>
      </c>
      <c r="D66" s="5">
        <v>1.1857764459665141</v>
      </c>
      <c r="E66" s="5">
        <v>1.138543759512938</v>
      </c>
      <c r="F66" s="5">
        <v>1.0913769025875191</v>
      </c>
      <c r="G66" s="5">
        <v>1.0606345129375949</v>
      </c>
      <c r="H66" s="5">
        <v>1.046678652968037</v>
      </c>
    </row>
    <row r="67" spans="1:8" x14ac:dyDescent="0.35">
      <c r="A67" s="4" t="s">
        <v>54</v>
      </c>
      <c r="B67" s="8">
        <v>-0.17271302767682523</v>
      </c>
      <c r="C67" s="8">
        <v>-0.34108540676543736</v>
      </c>
      <c r="D67" s="8">
        <v>-0.4824623986581002</v>
      </c>
      <c r="E67" s="8">
        <v>-0.68748336594912363</v>
      </c>
      <c r="F67" s="8">
        <v>-0.90833114341629639</v>
      </c>
      <c r="G67" s="8">
        <v>-1.0337824993010643</v>
      </c>
      <c r="H67" s="8">
        <v>-1.1674608610567418</v>
      </c>
    </row>
    <row r="68" spans="1:8" x14ac:dyDescent="0.35">
      <c r="A68" s="7" t="s">
        <v>55</v>
      </c>
      <c r="B68">
        <v>0.45</v>
      </c>
      <c r="C68">
        <v>0.45</v>
      </c>
      <c r="D68">
        <v>0.45</v>
      </c>
      <c r="E68">
        <v>0.45</v>
      </c>
      <c r="F68">
        <v>0.45</v>
      </c>
      <c r="G68">
        <v>0.45</v>
      </c>
      <c r="H68">
        <v>0.45</v>
      </c>
    </row>
    <row r="69" spans="1:8" x14ac:dyDescent="0.35">
      <c r="A69" s="7" t="s">
        <v>56</v>
      </c>
      <c r="B69">
        <v>2.5</v>
      </c>
      <c r="C69">
        <v>2.5</v>
      </c>
      <c r="D69">
        <v>2.5</v>
      </c>
      <c r="E69">
        <v>2.5</v>
      </c>
      <c r="F69">
        <v>2.5</v>
      </c>
      <c r="G69">
        <v>2.5</v>
      </c>
      <c r="H69">
        <v>2.5</v>
      </c>
    </row>
    <row r="70" spans="1:8" x14ac:dyDescent="0.35">
      <c r="A70" s="4" t="s">
        <v>57</v>
      </c>
      <c r="B70" s="8">
        <v>5438.96875</v>
      </c>
      <c r="C70" s="8">
        <v>3824.2361111111099</v>
      </c>
      <c r="D70" s="8">
        <v>2572.09375</v>
      </c>
      <c r="E70" s="8">
        <v>1518.8715277777781</v>
      </c>
      <c r="F70" s="8">
        <v>1236.1458333333335</v>
      </c>
      <c r="G70" s="8">
        <v>1137.0520833333333</v>
      </c>
      <c r="H70" s="8">
        <v>1102.0833333333333</v>
      </c>
    </row>
    <row r="71" spans="1:8" x14ac:dyDescent="0.35">
      <c r="A71" s="4" t="s">
        <v>58</v>
      </c>
      <c r="B71" s="8">
        <v>979.01437499999997</v>
      </c>
      <c r="C71" s="8">
        <v>688.36249999999984</v>
      </c>
      <c r="D71" s="8">
        <v>462.97687500000001</v>
      </c>
      <c r="E71" s="8">
        <v>273.39687500000008</v>
      </c>
      <c r="F71" s="8">
        <v>222.50625000000002</v>
      </c>
      <c r="G71" s="8">
        <v>204.669375</v>
      </c>
      <c r="H71" s="8">
        <v>198.375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5069</v>
      </c>
      <c r="C75">
        <v>7105</v>
      </c>
      <c r="D75">
        <v>8753</v>
      </c>
      <c r="E75">
        <v>8760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245046.01723333335</v>
      </c>
      <c r="C76">
        <v>172192.03283333333</v>
      </c>
      <c r="D76">
        <v>113221.81363333332</v>
      </c>
      <c r="E76">
        <v>112971.33333333333</v>
      </c>
      <c r="F76">
        <v>112971.33333333333</v>
      </c>
      <c r="G76">
        <v>112971.33333333333</v>
      </c>
      <c r="H76">
        <v>112971.33333333333</v>
      </c>
    </row>
    <row r="77" spans="1:8" x14ac:dyDescent="0.35">
      <c r="A77" s="12" t="s">
        <v>45</v>
      </c>
      <c r="B77">
        <v>75.974618815173656</v>
      </c>
      <c r="C77">
        <v>34.751707862948066</v>
      </c>
      <c r="D77">
        <v>23.115277148267069</v>
      </c>
      <c r="E77">
        <v>7.1693976689809604</v>
      </c>
      <c r="F77">
        <v>3.5786081836768551</v>
      </c>
      <c r="G77">
        <v>2.5753323599423257</v>
      </c>
      <c r="H77">
        <v>2.1026456223771057</v>
      </c>
    </row>
    <row r="78" spans="1:8" x14ac:dyDescent="0.35">
      <c r="A78" t="s">
        <v>61</v>
      </c>
      <c r="B78">
        <v>1281023.333333333</v>
      </c>
      <c r="C78">
        <v>622716.66666666663</v>
      </c>
      <c r="D78">
        <v>89863.333333333328</v>
      </c>
      <c r="E78">
        <v>87600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>
        <v>1.146235540334855</v>
      </c>
      <c r="C79">
        <v>1.0710863774733641</v>
      </c>
      <c r="D79">
        <v>1.0102583713850839</v>
      </c>
      <c r="E79">
        <v>1.01</v>
      </c>
      <c r="F79">
        <v>1.01</v>
      </c>
      <c r="G79">
        <v>1.01</v>
      </c>
      <c r="H79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DF19-537E-45F4-B05D-93F858708AE6}">
  <dimension ref="A1:H79"/>
  <sheetViews>
    <sheetView tabSelected="1" workbookViewId="0">
      <selection activeCell="B82" sqref="B82:G88"/>
    </sheetView>
  </sheetViews>
  <sheetFormatPr defaultRowHeight="14.5" x14ac:dyDescent="0.35"/>
  <cols>
    <col min="1" max="1" width="56.179687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4" t="s">
        <v>5</v>
      </c>
      <c r="B8" s="5">
        <v>30</v>
      </c>
      <c r="C8" s="5">
        <v>35</v>
      </c>
      <c r="D8" s="5">
        <v>40</v>
      </c>
      <c r="E8" s="5">
        <v>45</v>
      </c>
      <c r="F8" s="5">
        <v>50</v>
      </c>
      <c r="G8" s="5">
        <v>55</v>
      </c>
      <c r="H8" s="5">
        <v>60</v>
      </c>
    </row>
    <row r="9" spans="1:8" x14ac:dyDescent="0.35">
      <c r="A9" s="4" t="s">
        <v>6</v>
      </c>
      <c r="B9" s="5">
        <v>18</v>
      </c>
      <c r="C9" s="5">
        <v>23</v>
      </c>
      <c r="D9" s="5">
        <v>28</v>
      </c>
      <c r="E9" s="5">
        <v>33</v>
      </c>
      <c r="F9" s="5">
        <v>38</v>
      </c>
      <c r="G9" s="5">
        <v>43</v>
      </c>
      <c r="H9" s="5">
        <v>48</v>
      </c>
    </row>
    <row r="10" spans="1:8" x14ac:dyDescent="0.35">
      <c r="A10" s="4" t="s">
        <v>7</v>
      </c>
      <c r="B10" s="5">
        <v>0.12</v>
      </c>
      <c r="C10" s="5">
        <v>0.12</v>
      </c>
      <c r="D10" s="5">
        <v>0.12</v>
      </c>
      <c r="E10" s="5">
        <v>0.12</v>
      </c>
      <c r="F10" s="5">
        <v>0.12</v>
      </c>
      <c r="G10" s="5">
        <v>0.12</v>
      </c>
      <c r="H10" s="5">
        <v>0.12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4" t="s">
        <v>16</v>
      </c>
      <c r="B21" s="5">
        <v>24401.334825144779</v>
      </c>
      <c r="C21" s="5">
        <v>30285.71140114552</v>
      </c>
      <c r="D21" s="5">
        <v>38127.414745142538</v>
      </c>
      <c r="E21" s="5">
        <v>42703.807583996822</v>
      </c>
      <c r="F21" s="5">
        <v>43194.623535996521</v>
      </c>
      <c r="G21" s="5">
        <v>43198.967039996518</v>
      </c>
      <c r="H21" s="5">
        <v>43198.967039996518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2</v>
      </c>
      <c r="C25">
        <v>1</v>
      </c>
      <c r="D25">
        <v>24</v>
      </c>
      <c r="E25">
        <v>23</v>
      </c>
      <c r="F25">
        <v>0</v>
      </c>
      <c r="G25">
        <v>0</v>
      </c>
      <c r="H25">
        <v>0</v>
      </c>
    </row>
    <row r="26" spans="1:8" x14ac:dyDescent="0.35">
      <c r="A26" t="s">
        <v>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4" t="s">
        <v>22</v>
      </c>
      <c r="B27" s="5">
        <v>4012</v>
      </c>
      <c r="C27" s="5">
        <v>2851</v>
      </c>
      <c r="D27" s="5">
        <v>1101</v>
      </c>
      <c r="E27" s="5">
        <v>85</v>
      </c>
      <c r="F27" s="5">
        <v>0</v>
      </c>
      <c r="G27" s="5">
        <v>0</v>
      </c>
      <c r="H27" s="5">
        <v>0</v>
      </c>
    </row>
    <row r="28" spans="1:8" x14ac:dyDescent="0.35">
      <c r="A28" t="s">
        <v>23</v>
      </c>
      <c r="B28">
        <v>6</v>
      </c>
      <c r="C28">
        <v>23</v>
      </c>
      <c r="D28">
        <v>62</v>
      </c>
      <c r="E28">
        <v>29</v>
      </c>
      <c r="F28">
        <v>1</v>
      </c>
      <c r="G28">
        <v>0</v>
      </c>
      <c r="H28">
        <v>0</v>
      </c>
    </row>
    <row r="29" spans="1:8" x14ac:dyDescent="0.35">
      <c r="A29" s="4" t="s">
        <v>24</v>
      </c>
      <c r="B29" s="5">
        <v>4018</v>
      </c>
      <c r="C29" s="5">
        <v>2874</v>
      </c>
      <c r="D29" s="5">
        <v>1163</v>
      </c>
      <c r="E29" s="5">
        <v>114</v>
      </c>
      <c r="F29" s="5">
        <v>1</v>
      </c>
      <c r="G29" s="5">
        <v>0</v>
      </c>
      <c r="H29" s="5">
        <v>0</v>
      </c>
    </row>
    <row r="30" spans="1:8" x14ac:dyDescent="0.35">
      <c r="A30" s="4" t="s">
        <v>25</v>
      </c>
      <c r="B30" s="5">
        <v>54.132420091324192</v>
      </c>
      <c r="C30" s="5">
        <v>67.191780821917817</v>
      </c>
      <c r="D30" s="5">
        <v>86.723744292237441</v>
      </c>
      <c r="E30" s="5">
        <v>98.698630136986296</v>
      </c>
      <c r="F30" s="5">
        <v>99.98858447488584</v>
      </c>
      <c r="G30" s="5">
        <v>100</v>
      </c>
      <c r="H30" s="5">
        <v>100</v>
      </c>
    </row>
    <row r="32" spans="1:8" x14ac:dyDescent="0.35">
      <c r="A32" s="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6096.8571428571422</v>
      </c>
      <c r="C34">
        <v>7567.7142857142844</v>
      </c>
      <c r="D34">
        <v>9767.5714285714275</v>
      </c>
      <c r="E34">
        <v>11116.28571428571</v>
      </c>
      <c r="F34">
        <v>11261.571428571429</v>
      </c>
      <c r="G34">
        <v>11262.857142857139</v>
      </c>
      <c r="H34">
        <v>11262.857142857139</v>
      </c>
    </row>
    <row r="35" spans="1:8" x14ac:dyDescent="0.35">
      <c r="A35" t="s">
        <v>28</v>
      </c>
      <c r="B35">
        <v>884.10857142858083</v>
      </c>
      <c r="C35">
        <v>1116.4371428571619</v>
      </c>
      <c r="D35">
        <v>1295.3314285714659</v>
      </c>
      <c r="E35">
        <v>1258.0714285714989</v>
      </c>
      <c r="F35">
        <v>1508.760000000138</v>
      </c>
      <c r="G35">
        <v>374.39999999997889</v>
      </c>
      <c r="H35">
        <v>0</v>
      </c>
    </row>
    <row r="36" spans="1:8" x14ac:dyDescent="0.35">
      <c r="A36" t="s">
        <v>29</v>
      </c>
      <c r="B36">
        <v>9.7959183673469008E-2</v>
      </c>
      <c r="C36">
        <v>0.17142857142857121</v>
      </c>
      <c r="D36">
        <v>3.122448979591832</v>
      </c>
      <c r="E36">
        <v>3.2448979591836751</v>
      </c>
      <c r="F36">
        <v>0</v>
      </c>
      <c r="G36">
        <v>0</v>
      </c>
      <c r="H36">
        <v>0</v>
      </c>
    </row>
    <row r="37" spans="1:8" x14ac:dyDescent="0.35">
      <c r="A37" s="4" t="s">
        <v>30</v>
      </c>
      <c r="B37" s="5">
        <v>5212.6506122448873</v>
      </c>
      <c r="C37" s="5">
        <v>6451.1057142856926</v>
      </c>
      <c r="D37" s="5">
        <v>8469.1175510203702</v>
      </c>
      <c r="E37" s="5">
        <v>9854.9693877550308</v>
      </c>
      <c r="F37" s="5">
        <v>9752.8114285712891</v>
      </c>
      <c r="G37" s="5">
        <v>10888.45714285716</v>
      </c>
      <c r="H37" s="5">
        <v>11262.857142857139</v>
      </c>
    </row>
    <row r="39" spans="1:8" x14ac:dyDescent="0.35">
      <c r="A39" s="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5011</v>
      </c>
      <c r="C42">
        <v>6060</v>
      </c>
      <c r="D42">
        <v>7505</v>
      </c>
      <c r="E42">
        <v>8502</v>
      </c>
      <c r="F42">
        <v>8742</v>
      </c>
      <c r="G42">
        <v>8760</v>
      </c>
      <c r="H42">
        <v>8760</v>
      </c>
    </row>
    <row r="43" spans="1:8" x14ac:dyDescent="0.35">
      <c r="A43" t="s">
        <v>34</v>
      </c>
      <c r="B43">
        <v>3749</v>
      </c>
      <c r="C43">
        <v>2700</v>
      </c>
      <c r="D43">
        <v>1255</v>
      </c>
      <c r="E43">
        <v>258</v>
      </c>
      <c r="F43">
        <v>18</v>
      </c>
      <c r="G43">
        <v>0</v>
      </c>
      <c r="H43">
        <v>0</v>
      </c>
    </row>
    <row r="44" spans="1:8" x14ac:dyDescent="0.35">
      <c r="A44" t="s">
        <v>35</v>
      </c>
      <c r="B44">
        <v>177019.39999998879</v>
      </c>
      <c r="C44">
        <v>140723.9999999865</v>
      </c>
      <c r="D44">
        <v>90726.999999986321</v>
      </c>
      <c r="E44">
        <v>56230.800000007177</v>
      </c>
      <c r="F44">
        <v>47926.800000007534</v>
      </c>
      <c r="G44">
        <v>47304.000000007552</v>
      </c>
      <c r="H44">
        <v>47304.000000007552</v>
      </c>
    </row>
    <row r="45" spans="1:8" x14ac:dyDescent="0.35">
      <c r="A45" s="4" t="s">
        <v>36</v>
      </c>
      <c r="B45" s="5">
        <v>266338.66666666663</v>
      </c>
      <c r="C45" s="5">
        <v>227442.6666666666</v>
      </c>
      <c r="D45" s="5">
        <v>169268.66666666669</v>
      </c>
      <c r="E45" s="5">
        <v>133602.66666666669</v>
      </c>
      <c r="F45" s="5">
        <v>129760.6666666667</v>
      </c>
      <c r="G45" s="5">
        <v>129726.6666666667</v>
      </c>
      <c r="H45" s="5">
        <v>129726.6666666667</v>
      </c>
    </row>
    <row r="46" spans="1:8" x14ac:dyDescent="0.35">
      <c r="A46" s="4" t="s">
        <v>37</v>
      </c>
      <c r="B46" s="5">
        <v>219519.39999998879</v>
      </c>
      <c r="C46" s="5">
        <v>183223.9999999865</v>
      </c>
      <c r="D46" s="5">
        <v>133226.99999998629</v>
      </c>
      <c r="E46" s="5">
        <v>98730.800000007177</v>
      </c>
      <c r="F46" s="5">
        <v>90426.800000007526</v>
      </c>
      <c r="G46" s="5">
        <v>55970.666666674217</v>
      </c>
      <c r="H46" s="5">
        <v>55970.666666674217</v>
      </c>
    </row>
    <row r="47" spans="1:8" x14ac:dyDescent="0.35">
      <c r="A47" s="4" t="s">
        <v>38</v>
      </c>
      <c r="B47" s="5">
        <v>384233.33333333331</v>
      </c>
      <c r="C47" s="5">
        <v>384233.33333333331</v>
      </c>
      <c r="D47" s="5">
        <v>384233.33333333331</v>
      </c>
      <c r="E47" s="5">
        <v>384233.33333333331</v>
      </c>
      <c r="F47" s="5">
        <v>384233.33333333331</v>
      </c>
      <c r="G47" s="5">
        <v>384233.33333333331</v>
      </c>
      <c r="H47" s="5">
        <v>384233.33333333331</v>
      </c>
    </row>
    <row r="49" spans="1:8" x14ac:dyDescent="0.35">
      <c r="A49" s="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71785.333333333343</v>
      </c>
      <c r="C51">
        <v>78649.333333333343</v>
      </c>
      <c r="D51">
        <v>88915.333333333343</v>
      </c>
      <c r="E51">
        <v>95209.333333333343</v>
      </c>
      <c r="F51">
        <v>95887.333333333343</v>
      </c>
      <c r="G51">
        <v>95893.333333333343</v>
      </c>
      <c r="H51">
        <v>95893.333333333343</v>
      </c>
    </row>
    <row r="52" spans="1:8" x14ac:dyDescent="0.35">
      <c r="A52" t="s">
        <v>41</v>
      </c>
      <c r="B52">
        <v>46819.26666667778</v>
      </c>
      <c r="C52">
        <v>44218.666666680103</v>
      </c>
      <c r="D52">
        <v>36041.666666680358</v>
      </c>
      <c r="E52">
        <v>34871.866666659509</v>
      </c>
      <c r="F52">
        <v>39333.866666659153</v>
      </c>
      <c r="G52">
        <v>73755.999999992448</v>
      </c>
      <c r="H52">
        <v>73755.999999992448</v>
      </c>
    </row>
    <row r="53" spans="1:8" x14ac:dyDescent="0.35">
      <c r="A53" t="s">
        <v>42</v>
      </c>
      <c r="B53">
        <v>-117894.6666666666</v>
      </c>
      <c r="C53">
        <v>-156790.6666666666</v>
      </c>
      <c r="D53">
        <v>-214964.6666666666</v>
      </c>
      <c r="E53">
        <v>-250630.6666666666</v>
      </c>
      <c r="F53">
        <v>-254472.6666666666</v>
      </c>
      <c r="G53">
        <v>-254506.6666666666</v>
      </c>
      <c r="H53">
        <v>-254506.6666666666</v>
      </c>
    </row>
    <row r="54" spans="1:8" x14ac:dyDescent="0.35">
      <c r="A54" t="s">
        <v>43</v>
      </c>
      <c r="B54">
        <v>11.774153740412711</v>
      </c>
      <c r="C54">
        <v>10.39274612703087</v>
      </c>
      <c r="D54">
        <v>9.103115752319388</v>
      </c>
      <c r="E54">
        <v>8.5648512264288357</v>
      </c>
      <c r="F54">
        <v>8.5145606846714301</v>
      </c>
      <c r="G54">
        <v>8.5141214273634382</v>
      </c>
      <c r="H54">
        <v>8.5141214273634382</v>
      </c>
    </row>
    <row r="55" spans="1:8" x14ac:dyDescent="0.35">
      <c r="A55" s="12" t="s">
        <v>44</v>
      </c>
      <c r="B55" s="5">
        <v>13.77136867080722</v>
      </c>
      <c r="C55" s="5">
        <v>12.19160510099343</v>
      </c>
      <c r="D55" s="5">
        <v>10.498771896562079</v>
      </c>
      <c r="E55" s="5">
        <v>9.661048105500214</v>
      </c>
      <c r="F55" s="5">
        <v>9.8317632854488703</v>
      </c>
      <c r="G55" s="5">
        <v>8.8068798063130043</v>
      </c>
      <c r="H55" s="5">
        <v>8.5141214273634382</v>
      </c>
    </row>
    <row r="56" spans="1:8" x14ac:dyDescent="0.35">
      <c r="A56" s="12" t="s">
        <v>45</v>
      </c>
      <c r="B56" s="5">
        <v>8.981853983594446</v>
      </c>
      <c r="C56" s="5">
        <v>6.8544321896260021</v>
      </c>
      <c r="D56" s="5">
        <v>4.2556578592226559</v>
      </c>
      <c r="E56" s="5">
        <v>3.5385058334111519</v>
      </c>
      <c r="F56" s="5">
        <v>4.0330797898366884</v>
      </c>
      <c r="G56" s="5">
        <v>6.7737787853971989</v>
      </c>
      <c r="H56" s="5">
        <v>6.5486047691520444</v>
      </c>
    </row>
    <row r="57" spans="1:8" x14ac:dyDescent="0.35">
      <c r="A57" s="12" t="s">
        <v>46</v>
      </c>
      <c r="B57" s="5">
        <v>-22.617028348250241</v>
      </c>
      <c r="C57" s="5">
        <v>-24.30446401141133</v>
      </c>
      <c r="D57" s="5">
        <v>-25.382180064411479</v>
      </c>
      <c r="E57" s="5">
        <v>-25.431907173459059</v>
      </c>
      <c r="F57" s="5">
        <v>-26.092236944229001</v>
      </c>
      <c r="G57" s="5">
        <v>-23.37398800652149</v>
      </c>
      <c r="H57" s="5">
        <v>-22.596989683747669</v>
      </c>
    </row>
    <row r="59" spans="1:8" x14ac:dyDescent="0.35">
      <c r="A59" s="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1576433.333333333</v>
      </c>
      <c r="C61">
        <v>1252300</v>
      </c>
      <c r="D61">
        <v>767516.66666666663</v>
      </c>
      <c r="E61">
        <v>470300</v>
      </c>
      <c r="F61">
        <v>438283.33333333331</v>
      </c>
      <c r="G61">
        <v>438000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1475161.666666667</v>
      </c>
      <c r="C63">
        <v>1172700</v>
      </c>
      <c r="D63">
        <v>756058.33333333326</v>
      </c>
      <c r="E63">
        <v>468590</v>
      </c>
      <c r="F63">
        <v>399390</v>
      </c>
      <c r="G63">
        <v>394200</v>
      </c>
      <c r="H63">
        <v>394200</v>
      </c>
    </row>
    <row r="64" spans="1:8" x14ac:dyDescent="0.35">
      <c r="A64" s="4" t="s">
        <v>51</v>
      </c>
      <c r="B64" s="5">
        <v>1.179958143074582</v>
      </c>
      <c r="C64" s="5">
        <v>1.1429566210045661</v>
      </c>
      <c r="D64" s="5">
        <v>1.08761605783866</v>
      </c>
      <c r="E64" s="5">
        <v>1.0536872146118721</v>
      </c>
      <c r="F64" s="5">
        <v>1.050032343987823</v>
      </c>
      <c r="G64" s="5">
        <v>1.05</v>
      </c>
      <c r="H64" s="5">
        <v>1.05</v>
      </c>
    </row>
    <row r="65" spans="1:8" x14ac:dyDescent="0.35">
      <c r="A65" s="4" t="s">
        <v>52</v>
      </c>
      <c r="B65" s="5">
        <v>1.333333333333333</v>
      </c>
      <c r="C65" s="5">
        <v>1.333333333333333</v>
      </c>
      <c r="D65" s="5">
        <v>1.333333333333333</v>
      </c>
      <c r="E65" s="5">
        <v>1.333333333333333</v>
      </c>
      <c r="F65" s="5">
        <v>1.333333333333333</v>
      </c>
      <c r="G65" s="5">
        <v>1.333333333333333</v>
      </c>
      <c r="H65" s="5">
        <v>1.333333333333333</v>
      </c>
    </row>
    <row r="66" spans="1:8" x14ac:dyDescent="0.35">
      <c r="A66" s="4" t="s">
        <v>53</v>
      </c>
      <c r="B66" s="5">
        <v>1.1683974505327239</v>
      </c>
      <c r="C66" s="5">
        <v>1.133869863013699</v>
      </c>
      <c r="D66" s="5">
        <v>1.0863080289193301</v>
      </c>
      <c r="E66" s="5">
        <v>1.05349200913242</v>
      </c>
      <c r="F66" s="5">
        <v>1.045592465753425</v>
      </c>
      <c r="G66" s="5">
        <v>1.0449999999999999</v>
      </c>
      <c r="H66" s="5">
        <v>1.0449999999999999</v>
      </c>
    </row>
    <row r="67" spans="1:8" x14ac:dyDescent="0.35">
      <c r="A67" s="4" t="s">
        <v>54</v>
      </c>
      <c r="B67">
        <v>-0.59505143975398256</v>
      </c>
      <c r="C67">
        <v>-0.73642759295498772</v>
      </c>
      <c r="D67">
        <v>-0.96679424098406053</v>
      </c>
      <c r="E67">
        <v>-1.1249965054514877</v>
      </c>
      <c r="F67">
        <v>-1.1133346379647591</v>
      </c>
      <c r="G67">
        <v>-1.2429745596868904</v>
      </c>
      <c r="H67">
        <v>-1.2857142857142854</v>
      </c>
    </row>
    <row r="68" spans="1:8" x14ac:dyDescent="0.35">
      <c r="A68" s="7" t="s">
        <v>55</v>
      </c>
      <c r="B68">
        <v>0.33400000000000002</v>
      </c>
      <c r="C68">
        <v>0.33400000000000002</v>
      </c>
      <c r="D68">
        <v>0.33400000000000002</v>
      </c>
      <c r="E68">
        <v>0.33400000000000002</v>
      </c>
      <c r="F68">
        <v>0.33400000000000002</v>
      </c>
      <c r="G68">
        <v>0.33400000000000002</v>
      </c>
      <c r="H68">
        <v>0.33400000000000002</v>
      </c>
    </row>
    <row r="69" spans="1:8" x14ac:dyDescent="0.35">
      <c r="A69" s="7" t="s">
        <v>56</v>
      </c>
      <c r="B69">
        <v>3.97</v>
      </c>
      <c r="C69">
        <v>3.97</v>
      </c>
      <c r="D69">
        <v>3.97</v>
      </c>
      <c r="E69">
        <v>3.97</v>
      </c>
      <c r="F69">
        <v>3.97</v>
      </c>
      <c r="G69">
        <v>3.97</v>
      </c>
      <c r="H69">
        <v>3.97</v>
      </c>
    </row>
    <row r="70" spans="1:8" x14ac:dyDescent="0.35">
      <c r="A70" s="4" t="s">
        <v>57</v>
      </c>
      <c r="B70" s="6">
        <f t="shared" ref="B70:H70" si="0">(B61)*B69/1000</f>
        <v>6258.4403333333321</v>
      </c>
      <c r="C70" s="6">
        <f t="shared" si="0"/>
        <v>4971.6310000000003</v>
      </c>
      <c r="D70" s="6">
        <f t="shared" si="0"/>
        <v>3047.0411666666664</v>
      </c>
      <c r="E70" s="6">
        <f t="shared" si="0"/>
        <v>1867.0909999999999</v>
      </c>
      <c r="F70" s="6">
        <f t="shared" si="0"/>
        <v>1739.9848333333332</v>
      </c>
      <c r="G70" s="6">
        <f t="shared" si="0"/>
        <v>1738.86</v>
      </c>
      <c r="H70" s="6">
        <f t="shared" si="0"/>
        <v>1738.86</v>
      </c>
    </row>
    <row r="71" spans="1:8" x14ac:dyDescent="0.35">
      <c r="A71" s="4" t="s">
        <v>58</v>
      </c>
      <c r="B71" s="6">
        <f t="shared" ref="B71:H71" si="1">(B61)*B68/1000</f>
        <v>526.52873333333332</v>
      </c>
      <c r="C71" s="6">
        <f t="shared" si="1"/>
        <v>418.26820000000004</v>
      </c>
      <c r="D71" s="6">
        <f t="shared" si="1"/>
        <v>256.35056666666668</v>
      </c>
      <c r="E71" s="6">
        <f t="shared" si="1"/>
        <v>157.08020000000002</v>
      </c>
      <c r="F71" s="6">
        <f t="shared" si="1"/>
        <v>146.38663333333332</v>
      </c>
      <c r="G71" s="6">
        <f t="shared" si="1"/>
        <v>146.292</v>
      </c>
      <c r="H71" s="6">
        <f t="shared" si="1"/>
        <v>146.292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5764</v>
      </c>
      <c r="C75">
        <v>7470</v>
      </c>
      <c r="D75">
        <v>8622</v>
      </c>
      <c r="E75">
        <v>8760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294174.43573333329</v>
      </c>
      <c r="C76">
        <v>211818.30933333331</v>
      </c>
      <c r="D76">
        <v>156206.20053333335</v>
      </c>
      <c r="E76">
        <v>149544.33333333334</v>
      </c>
      <c r="F76">
        <v>149544.33333333334</v>
      </c>
      <c r="G76">
        <v>149544.33333333334</v>
      </c>
      <c r="H76">
        <v>149544.33333333334</v>
      </c>
    </row>
    <row r="77" spans="1:8" x14ac:dyDescent="0.35">
      <c r="A77" s="12" t="s">
        <v>45</v>
      </c>
      <c r="B77">
        <v>-5.3400412069204215</v>
      </c>
      <c r="C77">
        <v>2.4219657877770988</v>
      </c>
      <c r="D77">
        <v>1.542364485395477</v>
      </c>
      <c r="E77">
        <v>-1.6176272131777956</v>
      </c>
      <c r="F77">
        <v>-2.0285090931533367</v>
      </c>
      <c r="G77">
        <v>-1.8200619616404565</v>
      </c>
      <c r="H77">
        <v>-1.7595594452900372</v>
      </c>
    </row>
    <row r="78" spans="1:8" x14ac:dyDescent="0.35">
      <c r="A78" t="s">
        <v>61</v>
      </c>
      <c r="B78">
        <v>1056306.666666667</v>
      </c>
      <c r="C78">
        <v>504700</v>
      </c>
      <c r="D78">
        <v>132220</v>
      </c>
      <c r="E78">
        <v>87600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>
        <v>1.12058295281583</v>
      </c>
      <c r="C79">
        <v>1.057614155251142</v>
      </c>
      <c r="D79">
        <v>1.015093607305936</v>
      </c>
      <c r="E79">
        <v>1.01</v>
      </c>
      <c r="F79">
        <v>1.01</v>
      </c>
      <c r="G79">
        <v>1.01</v>
      </c>
      <c r="H79">
        <v>1.01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8ADA-0D53-4951-9F67-4FADBA36D412}">
  <dimension ref="A1:H79"/>
  <sheetViews>
    <sheetView topLeftCell="A70" workbookViewId="0">
      <selection activeCell="B80" sqref="B80:F88"/>
    </sheetView>
  </sheetViews>
  <sheetFormatPr defaultRowHeight="14.5" x14ac:dyDescent="0.35"/>
  <cols>
    <col min="1" max="1" width="61.816406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4" t="s">
        <v>5</v>
      </c>
      <c r="B8" s="5">
        <v>30</v>
      </c>
      <c r="C8" s="5">
        <v>35</v>
      </c>
      <c r="D8" s="5">
        <v>40</v>
      </c>
      <c r="E8" s="5">
        <v>45</v>
      </c>
      <c r="F8" s="5">
        <v>50</v>
      </c>
      <c r="G8" s="5">
        <v>55</v>
      </c>
      <c r="H8" s="5">
        <v>60</v>
      </c>
    </row>
    <row r="9" spans="1:8" x14ac:dyDescent="0.35">
      <c r="A9" s="4" t="s">
        <v>6</v>
      </c>
      <c r="B9" s="5">
        <v>18</v>
      </c>
      <c r="C9" s="5">
        <v>23</v>
      </c>
      <c r="D9" s="5">
        <v>28</v>
      </c>
      <c r="E9" s="5">
        <v>33</v>
      </c>
      <c r="F9" s="5">
        <v>38</v>
      </c>
      <c r="G9" s="5">
        <v>43</v>
      </c>
      <c r="H9" s="5">
        <v>48</v>
      </c>
    </row>
    <row r="10" spans="1:8" x14ac:dyDescent="0.35">
      <c r="A10" s="4" t="s">
        <v>7</v>
      </c>
      <c r="B10" s="5">
        <v>0.11</v>
      </c>
      <c r="C10" s="5">
        <v>0.11</v>
      </c>
      <c r="D10" s="5">
        <v>0.11</v>
      </c>
      <c r="E10" s="5">
        <v>0.11</v>
      </c>
      <c r="F10" s="5">
        <v>0.11</v>
      </c>
      <c r="G10" s="5">
        <v>0.11</v>
      </c>
      <c r="H10" s="5">
        <v>0.11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4" t="s">
        <v>16</v>
      </c>
      <c r="B21" s="5">
        <v>7065.1692777142071</v>
      </c>
      <c r="C21" s="5">
        <v>12560.872692571849</v>
      </c>
      <c r="D21" s="5">
        <v>20717.298018287191</v>
      </c>
      <c r="E21" s="5">
        <v>34313.156212572998</v>
      </c>
      <c r="F21" s="5">
        <v>39918.821364569289</v>
      </c>
      <c r="G21" s="5">
        <v>40564.869099426018</v>
      </c>
      <c r="H21" s="5">
        <v>40577.899611426008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47</v>
      </c>
      <c r="C25">
        <v>88</v>
      </c>
      <c r="D25">
        <v>131</v>
      </c>
      <c r="E25">
        <v>343</v>
      </c>
      <c r="F25">
        <v>92</v>
      </c>
      <c r="G25">
        <v>1</v>
      </c>
      <c r="H25">
        <v>0</v>
      </c>
    </row>
    <row r="26" spans="1:8" x14ac:dyDescent="0.35">
      <c r="A26" t="s">
        <v>21</v>
      </c>
      <c r="B26">
        <v>5</v>
      </c>
      <c r="C26">
        <v>10</v>
      </c>
      <c r="D26">
        <v>28</v>
      </c>
      <c r="E26">
        <v>103</v>
      </c>
      <c r="F26">
        <v>6</v>
      </c>
      <c r="G26">
        <v>0</v>
      </c>
      <c r="H26">
        <v>0</v>
      </c>
    </row>
    <row r="27" spans="1:8" x14ac:dyDescent="0.35">
      <c r="A27" s="4" t="s">
        <v>22</v>
      </c>
      <c r="B27" s="5">
        <v>7322</v>
      </c>
      <c r="C27" s="5">
        <v>6232</v>
      </c>
      <c r="D27" s="5">
        <v>4431</v>
      </c>
      <c r="E27" s="5">
        <v>1274</v>
      </c>
      <c r="F27" s="5">
        <v>12</v>
      </c>
      <c r="G27" s="5">
        <v>0</v>
      </c>
      <c r="H27" s="5">
        <v>0</v>
      </c>
    </row>
    <row r="28" spans="1:8" x14ac:dyDescent="0.35">
      <c r="A28" t="s">
        <v>23</v>
      </c>
      <c r="B28">
        <v>65</v>
      </c>
      <c r="C28">
        <v>87</v>
      </c>
      <c r="D28">
        <v>128</v>
      </c>
      <c r="E28">
        <v>165</v>
      </c>
      <c r="F28">
        <v>139</v>
      </c>
      <c r="G28">
        <v>3</v>
      </c>
      <c r="H28">
        <v>0</v>
      </c>
    </row>
    <row r="29" spans="1:8" x14ac:dyDescent="0.35">
      <c r="A29" s="4" t="s">
        <v>24</v>
      </c>
      <c r="B29" s="5">
        <v>7387</v>
      </c>
      <c r="C29" s="5">
        <v>6319</v>
      </c>
      <c r="D29" s="5">
        <v>4559</v>
      </c>
      <c r="E29" s="5">
        <v>1439</v>
      </c>
      <c r="F29" s="5">
        <v>151</v>
      </c>
      <c r="G29" s="5">
        <v>3</v>
      </c>
      <c r="H29" s="5">
        <v>0</v>
      </c>
    </row>
    <row r="30" spans="1:8" x14ac:dyDescent="0.35">
      <c r="A30" s="4" t="s">
        <v>25</v>
      </c>
      <c r="B30" s="5">
        <v>15.61643835616438</v>
      </c>
      <c r="C30" s="5">
        <v>27.75114155251142</v>
      </c>
      <c r="D30" s="5">
        <v>47.636986301369873</v>
      </c>
      <c r="E30" s="5">
        <v>82.397260273972606</v>
      </c>
      <c r="F30" s="5">
        <v>98.207762557077629</v>
      </c>
      <c r="G30" s="5">
        <v>99.965753424657535</v>
      </c>
      <c r="H30" s="5">
        <v>100</v>
      </c>
    </row>
    <row r="32" spans="1:8" x14ac:dyDescent="0.35">
      <c r="A32" s="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1765.285714285714</v>
      </c>
      <c r="C34">
        <v>3138.4285714285711</v>
      </c>
      <c r="D34">
        <v>5401.2857142857129</v>
      </c>
      <c r="E34">
        <v>9412.7142857142862</v>
      </c>
      <c r="F34">
        <v>11068.714285714281</v>
      </c>
      <c r="G34">
        <v>11259</v>
      </c>
      <c r="H34">
        <v>11262.857142857139</v>
      </c>
    </row>
    <row r="35" spans="1:8" x14ac:dyDescent="0.35">
      <c r="A35" t="s">
        <v>28</v>
      </c>
      <c r="B35">
        <v>490.2428571428585</v>
      </c>
      <c r="C35">
        <v>732.08571428572122</v>
      </c>
      <c r="D35">
        <v>1205.0228571428929</v>
      </c>
      <c r="E35">
        <v>2104.0714285714789</v>
      </c>
      <c r="F35">
        <v>1350.8228571428961</v>
      </c>
      <c r="G35">
        <v>499.62857142858633</v>
      </c>
      <c r="H35">
        <v>13.11428571428571</v>
      </c>
    </row>
    <row r="36" spans="1:8" x14ac:dyDescent="0.35">
      <c r="A36" t="s">
        <v>29</v>
      </c>
      <c r="B36">
        <v>6.5020408163265202</v>
      </c>
      <c r="C36">
        <v>12.22040816326529</v>
      </c>
      <c r="D36">
        <v>22.94693877551018</v>
      </c>
      <c r="E36">
        <v>64.065306122448462</v>
      </c>
      <c r="F36">
        <v>7.9469387755102003</v>
      </c>
      <c r="G36">
        <v>0</v>
      </c>
      <c r="H36">
        <v>0</v>
      </c>
    </row>
    <row r="37" spans="1:8" x14ac:dyDescent="0.35">
      <c r="A37" s="4" t="s">
        <v>30</v>
      </c>
      <c r="B37" s="5">
        <v>1268.540816326529</v>
      </c>
      <c r="C37" s="5">
        <v>2394.122448979585</v>
      </c>
      <c r="D37" s="5">
        <v>4173.3159183673097</v>
      </c>
      <c r="E37" s="5">
        <v>7244.5775510203566</v>
      </c>
      <c r="F37" s="5">
        <v>9709.9444897958783</v>
      </c>
      <c r="G37" s="5">
        <v>10759.37142857141</v>
      </c>
      <c r="H37" s="5">
        <v>11249.742857142861</v>
      </c>
    </row>
    <row r="39" spans="1:8" x14ac:dyDescent="0.35">
      <c r="A39" s="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1456</v>
      </c>
      <c r="C42">
        <v>2743</v>
      </c>
      <c r="D42">
        <v>4692</v>
      </c>
      <c r="E42">
        <v>7117</v>
      </c>
      <c r="F42">
        <v>8344</v>
      </c>
      <c r="G42">
        <v>8751</v>
      </c>
      <c r="H42">
        <v>8760</v>
      </c>
    </row>
    <row r="43" spans="1:8" x14ac:dyDescent="0.35">
      <c r="A43" t="s">
        <v>34</v>
      </c>
      <c r="B43">
        <v>7304</v>
      </c>
      <c r="C43">
        <v>6017</v>
      </c>
      <c r="D43">
        <v>4068</v>
      </c>
      <c r="E43">
        <v>1643</v>
      </c>
      <c r="F43">
        <v>416</v>
      </c>
      <c r="G43">
        <v>9</v>
      </c>
      <c r="H43">
        <v>0</v>
      </c>
    </row>
    <row r="44" spans="1:8" x14ac:dyDescent="0.35">
      <c r="A44" t="s">
        <v>35</v>
      </c>
      <c r="B44">
        <v>275020.53333331819</v>
      </c>
      <c r="C44">
        <v>234201.18333332651</v>
      </c>
      <c r="D44">
        <v>172385.40000001999</v>
      </c>
      <c r="E44">
        <v>95472.483333325086</v>
      </c>
      <c r="F44">
        <v>56556.133333324899</v>
      </c>
      <c r="G44">
        <v>43647.449999996963</v>
      </c>
      <c r="H44">
        <v>43361.99999999717</v>
      </c>
    </row>
    <row r="45" spans="1:8" x14ac:dyDescent="0.35">
      <c r="A45" s="4" t="s">
        <v>36</v>
      </c>
      <c r="B45" s="5">
        <v>355619.90277777769</v>
      </c>
      <c r="C45" s="5">
        <v>322389.66666666663</v>
      </c>
      <c r="D45" s="5">
        <v>267679.63888888888</v>
      </c>
      <c r="E45" s="5">
        <v>171160.59722222219</v>
      </c>
      <c r="F45" s="5">
        <v>130109.9722222222</v>
      </c>
      <c r="G45" s="5">
        <v>125440.1666666667</v>
      </c>
      <c r="H45" s="5">
        <v>125346.6666666667</v>
      </c>
    </row>
    <row r="46" spans="1:8" x14ac:dyDescent="0.35">
      <c r="A46" s="4" t="s">
        <v>37</v>
      </c>
      <c r="B46" s="5">
        <v>317520.53333331819</v>
      </c>
      <c r="C46" s="5">
        <v>276701.18333332648</v>
      </c>
      <c r="D46" s="5">
        <v>214885.40000001999</v>
      </c>
      <c r="E46" s="5">
        <v>137972.4833333251</v>
      </c>
      <c r="F46" s="5">
        <v>99056.133333324891</v>
      </c>
      <c r="G46" s="5">
        <v>86147.449999996956</v>
      </c>
      <c r="H46" s="5">
        <v>52028.666666663827</v>
      </c>
    </row>
    <row r="47" spans="1:8" x14ac:dyDescent="0.35">
      <c r="A47" s="4" t="s">
        <v>38</v>
      </c>
      <c r="B47" s="5">
        <v>355033.33333333331</v>
      </c>
      <c r="C47" s="5">
        <v>355033.33333333331</v>
      </c>
      <c r="D47" s="5">
        <v>355033.33333333331</v>
      </c>
      <c r="E47" s="5">
        <v>355033.33333333331</v>
      </c>
      <c r="F47" s="5">
        <v>355033.33333333331</v>
      </c>
      <c r="G47" s="5">
        <v>355033.33333333331</v>
      </c>
      <c r="H47" s="5">
        <v>355033.33333333331</v>
      </c>
    </row>
    <row r="49" spans="1:8" x14ac:dyDescent="0.35">
      <c r="A49" s="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50884.833333333343</v>
      </c>
      <c r="C51">
        <v>56758.833333333343</v>
      </c>
      <c r="D51">
        <v>66438.833333333343</v>
      </c>
      <c r="E51">
        <v>83598.833333333343</v>
      </c>
      <c r="F51">
        <v>90682.833333333343</v>
      </c>
      <c r="G51">
        <v>91496.833333333343</v>
      </c>
      <c r="H51">
        <v>91513.333333333343</v>
      </c>
    </row>
    <row r="52" spans="1:8" x14ac:dyDescent="0.35">
      <c r="A52" t="s">
        <v>41</v>
      </c>
      <c r="B52">
        <v>38099.369444459437</v>
      </c>
      <c r="C52">
        <v>45688.483333340148</v>
      </c>
      <c r="D52">
        <v>52794.238888868887</v>
      </c>
      <c r="E52">
        <v>33188.113888897176</v>
      </c>
      <c r="F52">
        <v>31053.838888897339</v>
      </c>
      <c r="G52">
        <v>39292.716666669723</v>
      </c>
      <c r="H52">
        <v>73318.000000002838</v>
      </c>
    </row>
    <row r="53" spans="1:8" x14ac:dyDescent="0.35">
      <c r="A53" t="s">
        <v>42</v>
      </c>
      <c r="B53">
        <v>586.56944444437977</v>
      </c>
      <c r="C53">
        <v>-32643.66666666669</v>
      </c>
      <c r="D53">
        <v>-87353.694444444438</v>
      </c>
      <c r="E53">
        <v>-183872.73611111109</v>
      </c>
      <c r="F53">
        <v>-224923.36111111109</v>
      </c>
      <c r="G53">
        <v>-229593.1666666666</v>
      </c>
      <c r="H53">
        <v>-229686.6666666666</v>
      </c>
    </row>
    <row r="54" spans="1:8" x14ac:dyDescent="0.35">
      <c r="A54" t="s">
        <v>43</v>
      </c>
      <c r="B54">
        <v>28.825267729492062</v>
      </c>
      <c r="C54">
        <v>18.085112355288519</v>
      </c>
      <c r="D54">
        <v>12.30055894980913</v>
      </c>
      <c r="E54">
        <v>8.8814799637774655</v>
      </c>
      <c r="F54">
        <v>8.192716063723152</v>
      </c>
      <c r="G54">
        <v>8.126550611362763</v>
      </c>
      <c r="H54">
        <v>8.125232538474549</v>
      </c>
    </row>
    <row r="55" spans="1:8" x14ac:dyDescent="0.35">
      <c r="A55" s="12" t="s">
        <v>44</v>
      </c>
      <c r="B55" s="5">
        <v>40.112886143219939</v>
      </c>
      <c r="C55" s="5">
        <v>23.70757325195498</v>
      </c>
      <c r="D55" s="5">
        <v>15.919914675265129</v>
      </c>
      <c r="E55" s="5">
        <v>11.539504235351711</v>
      </c>
      <c r="F55" s="5">
        <v>9.339171138272869</v>
      </c>
      <c r="G55" s="5">
        <v>8.5039199492978135</v>
      </c>
      <c r="H55" s="5">
        <v>8.1347044546203389</v>
      </c>
    </row>
    <row r="56" spans="1:8" x14ac:dyDescent="0.35">
      <c r="A56" s="12" t="s">
        <v>45</v>
      </c>
      <c r="B56" s="5">
        <v>30.034011483200452</v>
      </c>
      <c r="C56" s="5">
        <v>19.08360341085033</v>
      </c>
      <c r="D56" s="5">
        <v>12.65042951972903</v>
      </c>
      <c r="E56" s="5">
        <v>4.5810971937518739</v>
      </c>
      <c r="F56" s="5">
        <v>3.1981479318992641</v>
      </c>
      <c r="G56" s="5">
        <v>3.65195280481983</v>
      </c>
      <c r="H56" s="5">
        <v>6.517304522516322</v>
      </c>
    </row>
    <row r="57" spans="1:8" x14ac:dyDescent="0.35">
      <c r="A57" s="12" t="s">
        <v>46</v>
      </c>
      <c r="B57" s="5">
        <v>0.4623969815515922</v>
      </c>
      <c r="C57" s="5">
        <v>-13.63491941716681</v>
      </c>
      <c r="D57" s="5">
        <v>-20.93148377768129</v>
      </c>
      <c r="E57" s="5">
        <v>-25.380739569171109</v>
      </c>
      <c r="F57" s="5">
        <v>-23.16422728754852</v>
      </c>
      <c r="G57" s="5">
        <v>-21.3389014582194</v>
      </c>
      <c r="H57" s="5">
        <v>-20.417059268233011</v>
      </c>
    </row>
    <row r="59" spans="1:8" x14ac:dyDescent="0.35">
      <c r="A59" s="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2531393.055555555</v>
      </c>
      <c r="C61">
        <v>2229300</v>
      </c>
      <c r="D61">
        <v>1731936.111111111</v>
      </c>
      <c r="E61">
        <v>854490.27777777775</v>
      </c>
      <c r="F61">
        <v>481302.77777777781</v>
      </c>
      <c r="G61">
        <v>438850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2500186.666666667</v>
      </c>
      <c r="C63">
        <v>2129101.666666667</v>
      </c>
      <c r="D63">
        <v>1567140</v>
      </c>
      <c r="E63">
        <v>867931.66666666663</v>
      </c>
      <c r="F63">
        <v>514146.66666666663</v>
      </c>
      <c r="G63">
        <v>396795</v>
      </c>
      <c r="H63">
        <v>394200</v>
      </c>
    </row>
    <row r="64" spans="1:8" x14ac:dyDescent="0.35">
      <c r="A64" s="4" t="s">
        <v>51</v>
      </c>
      <c r="B64" s="5">
        <v>1.288971809994927</v>
      </c>
      <c r="C64" s="5">
        <v>1.2544863013698631</v>
      </c>
      <c r="D64" s="5">
        <v>1.1977096017250131</v>
      </c>
      <c r="E64" s="5">
        <v>1.0975445522577369</v>
      </c>
      <c r="F64" s="5">
        <v>1.054943239472349</v>
      </c>
      <c r="G64" s="5">
        <v>1.0500970319634699</v>
      </c>
      <c r="H64" s="5">
        <v>1.05</v>
      </c>
    </row>
    <row r="65" spans="1:8" x14ac:dyDescent="0.35">
      <c r="A65" s="4" t="s">
        <v>52</v>
      </c>
      <c r="B65" s="5">
        <v>1.333333333333333</v>
      </c>
      <c r="C65" s="5">
        <v>1.333333333333333</v>
      </c>
      <c r="D65" s="5">
        <v>1.333333333333333</v>
      </c>
      <c r="E65" s="5">
        <v>1.333333333333333</v>
      </c>
      <c r="F65" s="5">
        <v>1.333333333333333</v>
      </c>
      <c r="G65" s="5">
        <v>1.333333333333333</v>
      </c>
      <c r="H65" s="5">
        <v>1.333333333333333</v>
      </c>
    </row>
    <row r="66" spans="1:8" x14ac:dyDescent="0.35">
      <c r="A66" s="4" t="s">
        <v>53</v>
      </c>
      <c r="B66" s="5">
        <v>1.285409436834094</v>
      </c>
      <c r="C66" s="5">
        <v>1.243048135464232</v>
      </c>
      <c r="D66" s="5">
        <v>1.1788972602739729</v>
      </c>
      <c r="E66" s="5">
        <v>1.099078957382039</v>
      </c>
      <c r="F66" s="5">
        <v>1.0586925418569251</v>
      </c>
      <c r="G66" s="5">
        <v>1.0452962328767119</v>
      </c>
      <c r="H66" s="5">
        <v>1.0449999999999999</v>
      </c>
    </row>
    <row r="67" spans="1:8" x14ac:dyDescent="0.35">
      <c r="A67" s="4" t="s">
        <v>54</v>
      </c>
      <c r="B67">
        <v>-0.14481059547106495</v>
      </c>
      <c r="C67">
        <v>-0.27330164942689328</v>
      </c>
      <c r="D67">
        <v>-0.47640592675425913</v>
      </c>
      <c r="E67">
        <v>-0.82700656975118225</v>
      </c>
      <c r="F67">
        <v>-1.1084411518031825</v>
      </c>
      <c r="G67">
        <v>-1.2282387475538139</v>
      </c>
      <c r="H67">
        <v>-1.2842172211350298</v>
      </c>
    </row>
    <row r="68" spans="1:8" x14ac:dyDescent="0.35">
      <c r="A68" s="7" t="s">
        <v>55</v>
      </c>
      <c r="B68">
        <v>0.5</v>
      </c>
      <c r="C68">
        <v>0.5</v>
      </c>
      <c r="D68">
        <v>0.5</v>
      </c>
      <c r="E68">
        <v>0.5</v>
      </c>
      <c r="F68">
        <v>0.5</v>
      </c>
      <c r="G68">
        <v>0.5</v>
      </c>
      <c r="H68">
        <v>0.5</v>
      </c>
    </row>
    <row r="69" spans="1:8" x14ac:dyDescent="0.35">
      <c r="A69" s="7" t="s">
        <v>56</v>
      </c>
      <c r="B69" s="9">
        <v>3</v>
      </c>
      <c r="C69" s="9">
        <v>3</v>
      </c>
      <c r="D69" s="9">
        <v>3</v>
      </c>
      <c r="E69" s="9">
        <v>3</v>
      </c>
      <c r="F69" s="9">
        <v>3</v>
      </c>
      <c r="G69" s="9">
        <v>3</v>
      </c>
      <c r="H69" s="9">
        <v>3</v>
      </c>
    </row>
    <row r="70" spans="1:8" x14ac:dyDescent="0.35">
      <c r="A70" s="4" t="s">
        <v>57</v>
      </c>
      <c r="B70" s="6">
        <f t="shared" ref="B70:H70" si="0">(B61)*B69/1000</f>
        <v>7594.179166666665</v>
      </c>
      <c r="C70" s="6">
        <f t="shared" si="0"/>
        <v>6687.9</v>
      </c>
      <c r="D70" s="6">
        <f t="shared" si="0"/>
        <v>5195.8083333333334</v>
      </c>
      <c r="E70" s="6">
        <f t="shared" si="0"/>
        <v>2563.4708333333328</v>
      </c>
      <c r="F70" s="6">
        <f t="shared" si="0"/>
        <v>1443.9083333333335</v>
      </c>
      <c r="G70" s="6">
        <f t="shared" si="0"/>
        <v>1316.55</v>
      </c>
      <c r="H70" s="6">
        <f t="shared" si="0"/>
        <v>1314</v>
      </c>
    </row>
    <row r="71" spans="1:8" x14ac:dyDescent="0.35">
      <c r="A71" s="4" t="s">
        <v>58</v>
      </c>
      <c r="B71" s="6">
        <f t="shared" ref="B71:H71" si="1">(B61)*B68/1000</f>
        <v>1265.6965277777774</v>
      </c>
      <c r="C71" s="6">
        <f t="shared" si="1"/>
        <v>1114.6500000000001</v>
      </c>
      <c r="D71" s="6">
        <f t="shared" si="1"/>
        <v>865.96805555555545</v>
      </c>
      <c r="E71" s="6">
        <f t="shared" si="1"/>
        <v>427.2451388888889</v>
      </c>
      <c r="F71" s="6">
        <f t="shared" si="1"/>
        <v>240.6513888888889</v>
      </c>
      <c r="G71" s="6">
        <f t="shared" si="1"/>
        <v>219.42500000000001</v>
      </c>
      <c r="H71" s="6">
        <f t="shared" si="1"/>
        <v>219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2411</v>
      </c>
      <c r="C75">
        <v>4130</v>
      </c>
      <c r="D75">
        <v>7106</v>
      </c>
      <c r="E75">
        <v>8731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300362.27203333331</v>
      </c>
      <c r="C76">
        <v>252116.3023333333</v>
      </c>
      <c r="D76">
        <v>168590.99353333333</v>
      </c>
      <c r="E76">
        <v>122983.25603333334</v>
      </c>
      <c r="F76">
        <v>122169.33333333333</v>
      </c>
      <c r="G76">
        <v>122169.33333333333</v>
      </c>
      <c r="H76">
        <v>122169.33333333333</v>
      </c>
    </row>
    <row r="77" spans="1:8" x14ac:dyDescent="0.35">
      <c r="A77" s="12" t="s">
        <v>45</v>
      </c>
      <c r="B77">
        <v>43.559994312568321</v>
      </c>
      <c r="C77">
        <v>29.352452028209758</v>
      </c>
      <c r="D77">
        <v>23.74338470745851</v>
      </c>
      <c r="E77">
        <v>6.650124296357812</v>
      </c>
      <c r="F77">
        <v>0.81778416933625575</v>
      </c>
      <c r="G77">
        <v>0.30399855187150659</v>
      </c>
      <c r="H77">
        <v>0.28243608531158299</v>
      </c>
    </row>
    <row r="78" spans="1:8" x14ac:dyDescent="0.35">
      <c r="A78" t="s">
        <v>61</v>
      </c>
      <c r="B78">
        <v>2140443.333333333</v>
      </c>
      <c r="C78">
        <v>1584633.333333333</v>
      </c>
      <c r="D78">
        <v>622393.33333333337</v>
      </c>
      <c r="E78">
        <v>96976.666666666672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>
        <v>1.2443428462709289</v>
      </c>
      <c r="C79">
        <v>1.180894216133942</v>
      </c>
      <c r="D79">
        <v>1.0710494672754951</v>
      </c>
      <c r="E79">
        <v>1.0110703957382039</v>
      </c>
      <c r="F79">
        <v>1.01</v>
      </c>
      <c r="G79">
        <v>1.01</v>
      </c>
      <c r="H79">
        <v>1.01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0254-6008-4964-AFFB-20E06132F2BB}">
  <dimension ref="A1:H79"/>
  <sheetViews>
    <sheetView topLeftCell="A67" workbookViewId="0">
      <selection activeCell="B80" sqref="B80:F87"/>
    </sheetView>
  </sheetViews>
  <sheetFormatPr defaultRowHeight="14.5" x14ac:dyDescent="0.35"/>
  <cols>
    <col min="1" max="1" width="54.816406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4" t="s">
        <v>5</v>
      </c>
      <c r="B8" s="5">
        <v>30</v>
      </c>
      <c r="C8" s="5">
        <v>35</v>
      </c>
      <c r="D8" s="5">
        <v>40</v>
      </c>
      <c r="E8" s="5">
        <v>45</v>
      </c>
      <c r="F8" s="5">
        <v>50</v>
      </c>
      <c r="G8" s="5">
        <v>55</v>
      </c>
      <c r="H8" s="5">
        <v>60</v>
      </c>
    </row>
    <row r="9" spans="1:8" x14ac:dyDescent="0.35">
      <c r="A9" s="4" t="s">
        <v>6</v>
      </c>
      <c r="B9" s="5">
        <v>18</v>
      </c>
      <c r="C9" s="5">
        <v>23</v>
      </c>
      <c r="D9" s="5">
        <v>28</v>
      </c>
      <c r="E9" s="5">
        <v>33</v>
      </c>
      <c r="F9" s="5">
        <v>38</v>
      </c>
      <c r="G9" s="5">
        <v>43</v>
      </c>
      <c r="H9" s="5">
        <v>48</v>
      </c>
    </row>
    <row r="10" spans="1:8" x14ac:dyDescent="0.35">
      <c r="A10" s="4" t="s">
        <v>7</v>
      </c>
      <c r="B10" s="5">
        <v>0.1</v>
      </c>
      <c r="C10" s="5">
        <v>0.1</v>
      </c>
      <c r="D10" s="5">
        <v>0.1</v>
      </c>
      <c r="E10" s="5">
        <v>0.1</v>
      </c>
      <c r="F10" s="5">
        <v>0.1</v>
      </c>
      <c r="G10" s="5">
        <v>0.1</v>
      </c>
      <c r="H10" s="5">
        <v>0.1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4" t="s">
        <v>16</v>
      </c>
      <c r="B21" s="5">
        <v>22950.22212571602</v>
      </c>
      <c r="C21" s="5">
        <v>40003.369238855921</v>
      </c>
      <c r="D21" s="5">
        <v>44514.571958853237</v>
      </c>
      <c r="E21" s="5">
        <v>44751.666166853087</v>
      </c>
      <c r="F21" s="5">
        <v>44769.842468567367</v>
      </c>
      <c r="G21" s="5">
        <v>44769.842468567367</v>
      </c>
      <c r="H21" s="5">
        <v>44769.842468567367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0</v>
      </c>
      <c r="C25">
        <v>6</v>
      </c>
      <c r="D25">
        <v>17</v>
      </c>
      <c r="E25">
        <v>0</v>
      </c>
      <c r="F25">
        <v>0</v>
      </c>
      <c r="G25">
        <v>0</v>
      </c>
      <c r="H25">
        <v>0</v>
      </c>
    </row>
    <row r="26" spans="1:8" x14ac:dyDescent="0.35">
      <c r="A26" t="s">
        <v>21</v>
      </c>
      <c r="B26">
        <v>0</v>
      </c>
      <c r="C26">
        <v>0</v>
      </c>
      <c r="D26">
        <v>2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4" t="s">
        <v>22</v>
      </c>
      <c r="B27" s="5">
        <v>4291</v>
      </c>
      <c r="C27" s="5">
        <v>937</v>
      </c>
      <c r="D27" s="5">
        <v>31</v>
      </c>
      <c r="E27" s="5">
        <v>0</v>
      </c>
      <c r="F27" s="5">
        <v>0</v>
      </c>
      <c r="G27" s="5">
        <v>0</v>
      </c>
      <c r="H27" s="5">
        <v>0</v>
      </c>
    </row>
    <row r="28" spans="1:8" x14ac:dyDescent="0.35">
      <c r="A28" t="s">
        <v>23</v>
      </c>
      <c r="B28">
        <v>9</v>
      </c>
      <c r="C28">
        <v>49</v>
      </c>
      <c r="D28">
        <v>25</v>
      </c>
      <c r="E28">
        <v>4</v>
      </c>
      <c r="F28">
        <v>0</v>
      </c>
      <c r="G28">
        <v>0</v>
      </c>
      <c r="H28">
        <v>0</v>
      </c>
    </row>
    <row r="29" spans="1:8" x14ac:dyDescent="0.35">
      <c r="A29" s="4" t="s">
        <v>24</v>
      </c>
      <c r="B29" s="5">
        <v>4300</v>
      </c>
      <c r="C29" s="5">
        <v>986</v>
      </c>
      <c r="D29" s="5">
        <v>56</v>
      </c>
      <c r="E29" s="5">
        <v>4</v>
      </c>
      <c r="F29" s="5">
        <v>0</v>
      </c>
      <c r="G29" s="5">
        <v>0</v>
      </c>
      <c r="H29" s="5">
        <v>0</v>
      </c>
    </row>
    <row r="30" spans="1:8" x14ac:dyDescent="0.35">
      <c r="A30" s="4" t="s">
        <v>25</v>
      </c>
      <c r="B30" s="5">
        <v>50.913242009132418</v>
      </c>
      <c r="C30" s="5">
        <v>88.74429223744292</v>
      </c>
      <c r="D30" s="5">
        <v>99.337899543378995</v>
      </c>
      <c r="E30" s="5">
        <v>99.954337899543376</v>
      </c>
      <c r="F30" s="5">
        <v>100</v>
      </c>
      <c r="G30" s="5">
        <v>100</v>
      </c>
      <c r="H30" s="5">
        <v>100</v>
      </c>
    </row>
    <row r="32" spans="1:8" x14ac:dyDescent="0.35">
      <c r="A32" s="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5734.2857142857138</v>
      </c>
      <c r="C34">
        <v>9995.1428571428551</v>
      </c>
      <c r="D34">
        <v>11190.857142857139</v>
      </c>
      <c r="E34">
        <v>11257.714285714281</v>
      </c>
      <c r="F34">
        <v>11262.857142857139</v>
      </c>
      <c r="G34">
        <v>11262.857142857139</v>
      </c>
      <c r="H34">
        <v>11262.857142857139</v>
      </c>
    </row>
    <row r="35" spans="1:8" x14ac:dyDescent="0.35">
      <c r="A35" t="s">
        <v>28</v>
      </c>
      <c r="B35">
        <v>969.5057142857238</v>
      </c>
      <c r="C35">
        <v>1509.480000000071</v>
      </c>
      <c r="D35">
        <v>1710.334285714513</v>
      </c>
      <c r="E35">
        <v>3434.991428571047</v>
      </c>
      <c r="F35">
        <v>1239.788571428749</v>
      </c>
      <c r="G35">
        <v>0</v>
      </c>
      <c r="H35">
        <v>0</v>
      </c>
    </row>
    <row r="36" spans="1:8" x14ac:dyDescent="0.35">
      <c r="A36" t="s">
        <v>29</v>
      </c>
      <c r="B36">
        <v>0</v>
      </c>
      <c r="C36">
        <v>0.31836734693877572</v>
      </c>
      <c r="D36">
        <v>2.338775510204079</v>
      </c>
      <c r="E36">
        <v>0</v>
      </c>
      <c r="F36">
        <v>0</v>
      </c>
      <c r="G36">
        <v>0</v>
      </c>
      <c r="H36">
        <v>0</v>
      </c>
    </row>
    <row r="37" spans="1:8" x14ac:dyDescent="0.35">
      <c r="A37" s="4" t="s">
        <v>30</v>
      </c>
      <c r="B37" s="5">
        <v>4764.7799999999907</v>
      </c>
      <c r="C37" s="5">
        <v>8485.344489795847</v>
      </c>
      <c r="D37" s="5">
        <v>9478.1840816324238</v>
      </c>
      <c r="E37" s="5">
        <v>7822.7228571432379</v>
      </c>
      <c r="F37" s="5">
        <v>10023.06857142839</v>
      </c>
      <c r="G37" s="5">
        <v>11262.857142857139</v>
      </c>
      <c r="H37" s="5">
        <v>11262.857142857139</v>
      </c>
    </row>
    <row r="39" spans="1:8" x14ac:dyDescent="0.35">
      <c r="A39" s="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5289</v>
      </c>
      <c r="C42">
        <v>7818</v>
      </c>
      <c r="D42">
        <v>8564</v>
      </c>
      <c r="E42">
        <v>8745</v>
      </c>
      <c r="F42">
        <v>8760</v>
      </c>
      <c r="G42">
        <v>8760</v>
      </c>
      <c r="H42">
        <v>8760</v>
      </c>
    </row>
    <row r="43" spans="1:8" x14ac:dyDescent="0.35">
      <c r="A43" t="s">
        <v>34</v>
      </c>
      <c r="B43">
        <v>3471</v>
      </c>
      <c r="C43">
        <v>942</v>
      </c>
      <c r="D43">
        <v>196</v>
      </c>
      <c r="E43">
        <v>15</v>
      </c>
      <c r="F43">
        <v>0</v>
      </c>
      <c r="G43">
        <v>0</v>
      </c>
      <c r="H43">
        <v>0</v>
      </c>
    </row>
    <row r="44" spans="1:8" x14ac:dyDescent="0.35">
      <c r="A44" t="s">
        <v>35</v>
      </c>
      <c r="B44">
        <v>139500.49999999299</v>
      </c>
      <c r="C44">
        <v>66581.000000001019</v>
      </c>
      <c r="D44">
        <v>45071.333333333183</v>
      </c>
      <c r="E44">
        <v>39852.499999999993</v>
      </c>
      <c r="F44">
        <v>39420</v>
      </c>
      <c r="G44">
        <v>39420</v>
      </c>
      <c r="H44">
        <v>39420</v>
      </c>
    </row>
    <row r="45" spans="1:8" x14ac:dyDescent="0.35">
      <c r="A45" s="4" t="s">
        <v>36</v>
      </c>
      <c r="B45" s="5">
        <v>242800</v>
      </c>
      <c r="C45" s="5">
        <v>148903.33333333331</v>
      </c>
      <c r="D45" s="5">
        <v>122561.38888888891</v>
      </c>
      <c r="E45" s="5">
        <v>121080</v>
      </c>
      <c r="F45" s="5">
        <v>120966.6666666667</v>
      </c>
      <c r="G45" s="5">
        <v>120966.6666666667</v>
      </c>
      <c r="H45" s="5">
        <v>120966.6666666667</v>
      </c>
    </row>
    <row r="46" spans="1:8" x14ac:dyDescent="0.35">
      <c r="A46" s="4" t="s">
        <v>37</v>
      </c>
      <c r="B46" s="5">
        <v>182000.49999999299</v>
      </c>
      <c r="C46" s="5">
        <v>109081.000000001</v>
      </c>
      <c r="D46" s="5">
        <v>87571.333333333168</v>
      </c>
      <c r="E46" s="5">
        <v>82352.499999999985</v>
      </c>
      <c r="F46" s="5">
        <v>48086.666666666672</v>
      </c>
      <c r="G46" s="5">
        <v>48086.666666666672</v>
      </c>
      <c r="H46" s="5">
        <v>48086.666666666672</v>
      </c>
    </row>
    <row r="47" spans="1:8" x14ac:dyDescent="0.35">
      <c r="A47" s="4" t="s">
        <v>38</v>
      </c>
      <c r="B47" s="5">
        <v>325833.33333333331</v>
      </c>
      <c r="C47" s="5">
        <v>325833.33333333331</v>
      </c>
      <c r="D47" s="5">
        <v>325833.33333333331</v>
      </c>
      <c r="E47" s="5">
        <v>325833.33333333331</v>
      </c>
      <c r="F47" s="5">
        <v>325833.33333333331</v>
      </c>
      <c r="G47" s="5">
        <v>325833.33333333331</v>
      </c>
      <c r="H47" s="5">
        <v>325833.33333333331</v>
      </c>
    </row>
    <row r="49" spans="1:8" x14ac:dyDescent="0.35">
      <c r="A49" s="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65633.333333333343</v>
      </c>
      <c r="C51">
        <v>82203.333333333343</v>
      </c>
      <c r="D51">
        <v>86853.333333333343</v>
      </c>
      <c r="E51">
        <v>87113.333333333343</v>
      </c>
      <c r="F51">
        <v>87133.333333333343</v>
      </c>
      <c r="G51">
        <v>87133.333333333343</v>
      </c>
      <c r="H51">
        <v>87133.333333333343</v>
      </c>
    </row>
    <row r="52" spans="1:8" x14ac:dyDescent="0.35">
      <c r="A52" t="s">
        <v>41</v>
      </c>
      <c r="B52">
        <v>60799.500000006963</v>
      </c>
      <c r="C52">
        <v>39822.333333332317</v>
      </c>
      <c r="D52">
        <v>34990.055555555737</v>
      </c>
      <c r="E52">
        <v>38727.500000000007</v>
      </c>
      <c r="F52">
        <v>72880</v>
      </c>
      <c r="G52">
        <v>72880</v>
      </c>
      <c r="H52">
        <v>72880</v>
      </c>
    </row>
    <row r="53" spans="1:8" x14ac:dyDescent="0.35">
      <c r="A53" t="s">
        <v>42</v>
      </c>
      <c r="B53">
        <v>-83033.333333333314</v>
      </c>
      <c r="C53">
        <v>-176930</v>
      </c>
      <c r="D53">
        <v>-203271.94444444441</v>
      </c>
      <c r="E53">
        <v>-204753.33333333331</v>
      </c>
      <c r="F53">
        <v>-204866.6666666666</v>
      </c>
      <c r="G53">
        <v>-204866.6666666666</v>
      </c>
      <c r="H53">
        <v>-204866.6666666666</v>
      </c>
    </row>
    <row r="54" spans="1:8" x14ac:dyDescent="0.35">
      <c r="A54" t="s">
        <v>43</v>
      </c>
      <c r="B54">
        <v>11.445773127387479</v>
      </c>
      <c r="C54">
        <v>8.2243280069367035</v>
      </c>
      <c r="D54">
        <v>7.7610974945533773</v>
      </c>
      <c r="E54">
        <v>7.7381012808148508</v>
      </c>
      <c r="F54">
        <v>7.7363436495856606</v>
      </c>
      <c r="G54">
        <v>7.7363436495856606</v>
      </c>
      <c r="H54">
        <v>7.7363436495856606</v>
      </c>
    </row>
    <row r="55" spans="1:8" x14ac:dyDescent="0.35">
      <c r="A55" s="12" t="s">
        <v>44</v>
      </c>
      <c r="B55" s="5">
        <v>13.774682846497321</v>
      </c>
      <c r="C55" s="5">
        <v>9.6876836800424488</v>
      </c>
      <c r="D55" s="5">
        <v>9.1634993143512169</v>
      </c>
      <c r="E55" s="5">
        <v>11.135935009353769</v>
      </c>
      <c r="F55" s="5">
        <v>8.6932791801618805</v>
      </c>
      <c r="G55" s="5">
        <v>7.7363436495856606</v>
      </c>
      <c r="H55" s="5">
        <v>7.7363436495856606</v>
      </c>
    </row>
    <row r="56" spans="1:8" x14ac:dyDescent="0.35">
      <c r="A56" s="12" t="s">
        <v>45</v>
      </c>
      <c r="B56" s="5">
        <v>12.760190397039761</v>
      </c>
      <c r="C56" s="5">
        <v>4.6930720822497127</v>
      </c>
      <c r="D56" s="5">
        <v>3.6916412737079281</v>
      </c>
      <c r="E56" s="5">
        <v>4.9506419576958933</v>
      </c>
      <c r="F56" s="5">
        <v>7.2712263196273659</v>
      </c>
      <c r="G56" s="5">
        <v>6.4708269913749374</v>
      </c>
      <c r="H56" s="5">
        <v>6.4708269913749374</v>
      </c>
    </row>
    <row r="57" spans="1:8" x14ac:dyDescent="0.35">
      <c r="A57" s="12" t="s">
        <v>46</v>
      </c>
      <c r="B57" s="5">
        <v>-17.42647789264845</v>
      </c>
      <c r="C57" s="5">
        <v>-20.851245369326989</v>
      </c>
      <c r="D57" s="5">
        <v>-21.446296325723491</v>
      </c>
      <c r="E57" s="5">
        <v>-26.174177082902141</v>
      </c>
      <c r="F57" s="5">
        <v>-20.43951562405314</v>
      </c>
      <c r="G57" s="5">
        <v>-18.189582276340271</v>
      </c>
      <c r="H57" s="5">
        <v>-18.189582276340271</v>
      </c>
    </row>
    <row r="59" spans="1:8" x14ac:dyDescent="0.35">
      <c r="A59" s="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1656333.333333333</v>
      </c>
      <c r="C61">
        <v>717366.66666666663</v>
      </c>
      <c r="D61">
        <v>453947.22222222219</v>
      </c>
      <c r="E61">
        <v>439133.33333333331</v>
      </c>
      <c r="F61">
        <v>438000</v>
      </c>
      <c r="G61">
        <v>438000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1395005</v>
      </c>
      <c r="C63">
        <v>665810</v>
      </c>
      <c r="D63">
        <v>450713.33333333331</v>
      </c>
      <c r="E63">
        <v>398525</v>
      </c>
      <c r="F63">
        <v>394200</v>
      </c>
      <c r="G63">
        <v>394200</v>
      </c>
      <c r="H63">
        <v>394200</v>
      </c>
    </row>
    <row r="64" spans="1:8" x14ac:dyDescent="0.35">
      <c r="A64" s="4" t="s">
        <v>51</v>
      </c>
      <c r="B64" s="5">
        <v>1.189079147640792</v>
      </c>
      <c r="C64" s="5">
        <v>1.0818911719939119</v>
      </c>
      <c r="D64" s="5">
        <v>1.051820459157788</v>
      </c>
      <c r="E64" s="5">
        <v>1.050129375951294</v>
      </c>
      <c r="F64" s="5">
        <v>1.05</v>
      </c>
      <c r="G64" s="5">
        <v>1.05</v>
      </c>
      <c r="H64" s="5">
        <v>1.05</v>
      </c>
    </row>
    <row r="65" spans="1:8" x14ac:dyDescent="0.35">
      <c r="A65" s="4" t="s">
        <v>52</v>
      </c>
      <c r="B65" s="5">
        <v>1.333333333333333</v>
      </c>
      <c r="C65" s="5">
        <v>1.333333333333333</v>
      </c>
      <c r="D65" s="5">
        <v>1.333333333333333</v>
      </c>
      <c r="E65" s="5">
        <v>1.333333333333333</v>
      </c>
      <c r="F65" s="5">
        <v>1.333333333333333</v>
      </c>
      <c r="G65" s="5">
        <v>1.333333333333333</v>
      </c>
      <c r="H65" s="5">
        <v>1.333333333333333</v>
      </c>
    </row>
    <row r="66" spans="1:8" x14ac:dyDescent="0.35">
      <c r="A66" s="4" t="s">
        <v>53</v>
      </c>
      <c r="B66" s="5">
        <v>1.159247146118721</v>
      </c>
      <c r="C66" s="5">
        <v>1.0760057077625571</v>
      </c>
      <c r="D66" s="5">
        <v>1.0514512937595131</v>
      </c>
      <c r="E66" s="5">
        <v>1.045493721461187</v>
      </c>
      <c r="F66" s="5">
        <v>1.0449999999999999</v>
      </c>
      <c r="G66" s="5">
        <v>1.0449999999999999</v>
      </c>
      <c r="H66" s="5">
        <v>1.0449999999999999</v>
      </c>
    </row>
    <row r="67" spans="1:8" x14ac:dyDescent="0.35">
      <c r="A67" s="4" t="s">
        <v>54</v>
      </c>
      <c r="B67">
        <v>-0.54392465753424546</v>
      </c>
      <c r="C67">
        <v>-0.96864663125523376</v>
      </c>
      <c r="D67">
        <v>-1.0819844842046147</v>
      </c>
      <c r="E67">
        <v>-0.89300489236794955</v>
      </c>
      <c r="F67">
        <v>-1.1441859099804099</v>
      </c>
      <c r="G67">
        <v>-1.2857142857142854</v>
      </c>
      <c r="H67">
        <v>-1.2857142857142854</v>
      </c>
    </row>
    <row r="68" spans="1:8" x14ac:dyDescent="0.35">
      <c r="A68" s="7" t="s">
        <v>55</v>
      </c>
      <c r="B68" s="11">
        <v>0.02</v>
      </c>
      <c r="C68" s="11">
        <v>0.02</v>
      </c>
      <c r="D68" s="11">
        <v>0.02</v>
      </c>
      <c r="E68" s="11">
        <v>0.02</v>
      </c>
      <c r="F68" s="11">
        <v>0.02</v>
      </c>
      <c r="G68" s="11">
        <v>0.02</v>
      </c>
      <c r="H68" s="11">
        <v>0.02</v>
      </c>
    </row>
    <row r="69" spans="1:8" x14ac:dyDescent="0.35">
      <c r="A69" s="7" t="s">
        <v>56</v>
      </c>
      <c r="B69" s="9">
        <v>1</v>
      </c>
      <c r="C69" s="9">
        <v>1</v>
      </c>
      <c r="D69" s="9">
        <v>1</v>
      </c>
      <c r="E69" s="9">
        <v>1</v>
      </c>
      <c r="F69" s="9">
        <v>1</v>
      </c>
      <c r="G69" s="9">
        <v>1</v>
      </c>
      <c r="H69" s="9">
        <v>1</v>
      </c>
    </row>
    <row r="70" spans="1:8" x14ac:dyDescent="0.35">
      <c r="A70" s="4" t="s">
        <v>57</v>
      </c>
      <c r="B70" s="6">
        <f t="shared" ref="B70:H70" si="0">(B61)*B69/1000</f>
        <v>1656.333333333333</v>
      </c>
      <c r="C70" s="6">
        <f t="shared" si="0"/>
        <v>717.36666666666667</v>
      </c>
      <c r="D70" s="6">
        <f t="shared" si="0"/>
        <v>453.94722222222219</v>
      </c>
      <c r="E70" s="6">
        <f t="shared" si="0"/>
        <v>439.13333333333333</v>
      </c>
      <c r="F70" s="6">
        <f t="shared" si="0"/>
        <v>438</v>
      </c>
      <c r="G70" s="6">
        <f t="shared" si="0"/>
        <v>438</v>
      </c>
      <c r="H70" s="6">
        <f t="shared" si="0"/>
        <v>438</v>
      </c>
    </row>
    <row r="71" spans="1:8" x14ac:dyDescent="0.35">
      <c r="A71" s="4" t="s">
        <v>58</v>
      </c>
      <c r="B71" s="6">
        <f t="shared" ref="B71:H71" si="1">(B61)*B68/1000</f>
        <v>33.126666666666665</v>
      </c>
      <c r="C71" s="6">
        <f t="shared" si="1"/>
        <v>14.347333333333331</v>
      </c>
      <c r="D71" s="6">
        <f t="shared" si="1"/>
        <v>9.0789444444444438</v>
      </c>
      <c r="E71" s="6">
        <f t="shared" si="1"/>
        <v>8.7826666666666657</v>
      </c>
      <c r="F71" s="6">
        <f t="shared" si="1"/>
        <v>8.76</v>
      </c>
      <c r="G71" s="6">
        <f t="shared" si="1"/>
        <v>8.76</v>
      </c>
      <c r="H71" s="6">
        <f t="shared" si="1"/>
        <v>8.76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7532</v>
      </c>
      <c r="C75">
        <v>8705</v>
      </c>
      <c r="D75">
        <v>8760</v>
      </c>
      <c r="E75">
        <v>8760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114128.25733333333</v>
      </c>
      <c r="C76">
        <v>79134.148333333331</v>
      </c>
      <c r="D76">
        <v>77493.333333333328</v>
      </c>
      <c r="E76">
        <v>77493.333333333328</v>
      </c>
      <c r="F76">
        <v>77493.333333333328</v>
      </c>
      <c r="G76">
        <v>77493.333333333328</v>
      </c>
      <c r="H76">
        <v>77493.333333333328</v>
      </c>
    </row>
    <row r="77" spans="1:8" x14ac:dyDescent="0.35">
      <c r="A77" s="12" t="s">
        <v>45</v>
      </c>
      <c r="B77">
        <v>27.004760485618839</v>
      </c>
      <c r="C77">
        <v>8.2223161456675982</v>
      </c>
      <c r="D77">
        <v>4.7549251172375966</v>
      </c>
      <c r="E77">
        <v>5.5718024865045503</v>
      </c>
      <c r="F77">
        <v>4.33732773786042</v>
      </c>
      <c r="G77">
        <v>3.85988499915441</v>
      </c>
      <c r="H77">
        <v>3.85988499915441</v>
      </c>
    </row>
    <row r="78" spans="1:8" x14ac:dyDescent="0.35">
      <c r="A78" t="s">
        <v>61</v>
      </c>
      <c r="B78">
        <v>484653.33333333331</v>
      </c>
      <c r="C78">
        <v>105383.3333333333</v>
      </c>
      <c r="D78">
        <v>87600</v>
      </c>
      <c r="E78">
        <v>87600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>
        <v>1.0553257229832571</v>
      </c>
      <c r="C79">
        <v>1.012030060882801</v>
      </c>
      <c r="D79">
        <v>1.01</v>
      </c>
      <c r="E79">
        <v>1.01</v>
      </c>
      <c r="F79">
        <v>1.01</v>
      </c>
      <c r="G79">
        <v>1.01</v>
      </c>
      <c r="H79">
        <v>1.01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C5B0-A3CD-4BA6-B9A3-D6D1090EB4C7}">
  <dimension ref="A1:H79"/>
  <sheetViews>
    <sheetView topLeftCell="A64" workbookViewId="0">
      <selection activeCell="B80" sqref="B80:G87"/>
    </sheetView>
  </sheetViews>
  <sheetFormatPr defaultRowHeight="14.5" x14ac:dyDescent="0.35"/>
  <cols>
    <col min="1" max="1" width="53.179687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4" t="s">
        <v>5</v>
      </c>
      <c r="B8" s="5">
        <v>30</v>
      </c>
      <c r="C8" s="5">
        <v>35</v>
      </c>
      <c r="D8" s="5">
        <v>40</v>
      </c>
      <c r="E8" s="5">
        <v>45</v>
      </c>
      <c r="F8" s="5">
        <v>50</v>
      </c>
      <c r="G8" s="5">
        <v>55</v>
      </c>
      <c r="H8" s="5">
        <v>60</v>
      </c>
    </row>
    <row r="9" spans="1:8" x14ac:dyDescent="0.35">
      <c r="A9" s="4" t="s">
        <v>6</v>
      </c>
      <c r="B9" s="5">
        <v>18</v>
      </c>
      <c r="C9" s="5">
        <v>23</v>
      </c>
      <c r="D9" s="5">
        <v>28</v>
      </c>
      <c r="E9" s="5">
        <v>33</v>
      </c>
      <c r="F9" s="5">
        <v>38</v>
      </c>
      <c r="G9" s="5">
        <v>43</v>
      </c>
      <c r="H9" s="5">
        <v>48</v>
      </c>
    </row>
    <row r="10" spans="1:8" x14ac:dyDescent="0.35">
      <c r="A10" s="4" t="s">
        <v>7</v>
      </c>
      <c r="B10" s="5">
        <v>0.2</v>
      </c>
      <c r="C10" s="5">
        <v>0.2</v>
      </c>
      <c r="D10" s="5">
        <v>0.2</v>
      </c>
      <c r="E10" s="5">
        <v>0.2</v>
      </c>
      <c r="F10" s="5">
        <v>0.2</v>
      </c>
      <c r="G10" s="5">
        <v>0.2</v>
      </c>
      <c r="H10" s="5">
        <v>0.2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4" t="s">
        <v>16</v>
      </c>
      <c r="B21" s="5">
        <v>25481.950665144908</v>
      </c>
      <c r="C21" s="5">
        <v>37701.59666514297</v>
      </c>
      <c r="D21" s="5">
        <v>43752.030895996497</v>
      </c>
      <c r="E21" s="5">
        <v>44399.627396567543</v>
      </c>
      <c r="F21" s="5">
        <v>44483.426468567493</v>
      </c>
      <c r="G21" s="5">
        <v>44483.426468567493</v>
      </c>
      <c r="H21" s="5">
        <v>44483.426468567493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6</v>
      </c>
      <c r="C25">
        <v>54</v>
      </c>
      <c r="D25">
        <v>52</v>
      </c>
      <c r="E25">
        <v>4</v>
      </c>
      <c r="F25">
        <v>0</v>
      </c>
      <c r="G25">
        <v>0</v>
      </c>
      <c r="H25">
        <v>0</v>
      </c>
    </row>
    <row r="26" spans="1:8" x14ac:dyDescent="0.35">
      <c r="A26" t="s">
        <v>21</v>
      </c>
      <c r="B26">
        <v>1</v>
      </c>
      <c r="C26">
        <v>12</v>
      </c>
      <c r="D26">
        <v>11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4" t="s">
        <v>22</v>
      </c>
      <c r="B27" s="5">
        <v>3788</v>
      </c>
      <c r="C27" s="5">
        <v>1344</v>
      </c>
      <c r="D27" s="5">
        <v>115</v>
      </c>
      <c r="E27" s="5">
        <v>0</v>
      </c>
      <c r="F27" s="5">
        <v>0</v>
      </c>
      <c r="G27" s="5">
        <v>0</v>
      </c>
      <c r="H27" s="5">
        <v>0</v>
      </c>
    </row>
    <row r="28" spans="1:8" x14ac:dyDescent="0.35">
      <c r="A28" t="s">
        <v>23</v>
      </c>
      <c r="B28">
        <v>20</v>
      </c>
      <c r="C28">
        <v>89</v>
      </c>
      <c r="D28">
        <v>46</v>
      </c>
      <c r="E28">
        <v>18</v>
      </c>
      <c r="F28">
        <v>0</v>
      </c>
      <c r="G28">
        <v>0</v>
      </c>
      <c r="H28">
        <v>0</v>
      </c>
    </row>
    <row r="29" spans="1:8" x14ac:dyDescent="0.35">
      <c r="A29" s="4" t="s">
        <v>24</v>
      </c>
      <c r="B29" s="5">
        <v>3808</v>
      </c>
      <c r="C29" s="5">
        <v>1433</v>
      </c>
      <c r="D29" s="5">
        <v>161</v>
      </c>
      <c r="E29" s="5">
        <v>18</v>
      </c>
      <c r="F29" s="5">
        <v>0</v>
      </c>
      <c r="G29" s="5">
        <v>0</v>
      </c>
      <c r="H29" s="5">
        <v>0</v>
      </c>
    </row>
    <row r="30" spans="1:8" x14ac:dyDescent="0.35">
      <c r="A30" s="4" t="s">
        <v>25</v>
      </c>
      <c r="B30" s="5">
        <v>56.518264840182653</v>
      </c>
      <c r="C30" s="5">
        <v>83.504566210045667</v>
      </c>
      <c r="D30" s="5">
        <v>98.036529680365291</v>
      </c>
      <c r="E30" s="5">
        <v>99.794520547945211</v>
      </c>
      <c r="F30" s="5">
        <v>100</v>
      </c>
      <c r="G30" s="5">
        <v>100</v>
      </c>
      <c r="H30" s="5">
        <v>100</v>
      </c>
    </row>
    <row r="32" spans="1:8" x14ac:dyDescent="0.35">
      <c r="A32" s="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6366.8571428571422</v>
      </c>
      <c r="C34">
        <v>9420.4285714285688</v>
      </c>
      <c r="D34">
        <v>11055.857142857139</v>
      </c>
      <c r="E34">
        <v>11239.71428571429</v>
      </c>
      <c r="F34">
        <v>11262.857142857139</v>
      </c>
      <c r="G34">
        <v>11262.857142857139</v>
      </c>
      <c r="H34">
        <v>11262.857142857139</v>
      </c>
    </row>
    <row r="35" spans="1:8" x14ac:dyDescent="0.35">
      <c r="A35" t="s">
        <v>28</v>
      </c>
      <c r="B35">
        <v>980.84571428572804</v>
      </c>
      <c r="C35">
        <v>1460.417142857237</v>
      </c>
      <c r="D35">
        <v>1499.065714285781</v>
      </c>
      <c r="E35">
        <v>1071.9771428573149</v>
      </c>
      <c r="F35">
        <v>1316.082857142907</v>
      </c>
      <c r="G35">
        <v>0</v>
      </c>
      <c r="H35">
        <v>0</v>
      </c>
    </row>
    <row r="36" spans="1:8" x14ac:dyDescent="0.35">
      <c r="A36" t="s">
        <v>29</v>
      </c>
      <c r="B36">
        <v>0.89387755102040678</v>
      </c>
      <c r="C36">
        <v>9.8204081632652773</v>
      </c>
      <c r="D36">
        <v>9.9061224489795574</v>
      </c>
      <c r="E36">
        <v>0.53877551020408065</v>
      </c>
      <c r="F36">
        <v>0</v>
      </c>
      <c r="G36">
        <v>0</v>
      </c>
      <c r="H36">
        <v>0</v>
      </c>
    </row>
    <row r="37" spans="1:8" x14ac:dyDescent="0.35">
      <c r="A37" s="4" t="s">
        <v>30</v>
      </c>
      <c r="B37" s="5">
        <v>5385.117551020393</v>
      </c>
      <c r="C37" s="5">
        <v>7950.1910204080677</v>
      </c>
      <c r="D37" s="5">
        <v>9546.8853061223817</v>
      </c>
      <c r="E37" s="5">
        <v>10167.198367346769</v>
      </c>
      <c r="F37" s="5">
        <v>9946.7742857142348</v>
      </c>
      <c r="G37" s="5">
        <v>11262.857142857139</v>
      </c>
      <c r="H37" s="5">
        <v>11262.857142857139</v>
      </c>
    </row>
    <row r="39" spans="1:8" x14ac:dyDescent="0.35">
      <c r="A39" s="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5498</v>
      </c>
      <c r="C42">
        <v>7271</v>
      </c>
      <c r="D42">
        <v>8303</v>
      </c>
      <c r="E42">
        <v>8678</v>
      </c>
      <c r="F42">
        <v>8758</v>
      </c>
      <c r="G42">
        <v>8760</v>
      </c>
      <c r="H42">
        <v>8760</v>
      </c>
    </row>
    <row r="43" spans="1:8" x14ac:dyDescent="0.35">
      <c r="A43" t="s">
        <v>34</v>
      </c>
      <c r="B43">
        <v>3262</v>
      </c>
      <c r="C43">
        <v>1489</v>
      </c>
      <c r="D43">
        <v>457</v>
      </c>
      <c r="E43">
        <v>82</v>
      </c>
      <c r="F43">
        <v>2</v>
      </c>
      <c r="G43">
        <v>0</v>
      </c>
      <c r="H43">
        <v>0</v>
      </c>
    </row>
    <row r="44" spans="1:8" x14ac:dyDescent="0.35">
      <c r="A44" t="s">
        <v>35</v>
      </c>
      <c r="B44">
        <v>266948.66666665382</v>
      </c>
      <c r="C44">
        <v>164705.66666666869</v>
      </c>
      <c r="D44">
        <v>105193.6666666668</v>
      </c>
      <c r="E44">
        <v>83568.666666666482</v>
      </c>
      <c r="F44">
        <v>78955.333333333328</v>
      </c>
      <c r="G44">
        <v>78840</v>
      </c>
      <c r="H44">
        <v>78840</v>
      </c>
    </row>
    <row r="45" spans="1:8" x14ac:dyDescent="0.35">
      <c r="A45" s="4" t="s">
        <v>36</v>
      </c>
      <c r="B45" s="5">
        <v>380564.16666666663</v>
      </c>
      <c r="C45" s="5">
        <v>246119.44444444441</v>
      </c>
      <c r="D45" s="5">
        <v>174004.16666666669</v>
      </c>
      <c r="E45" s="5">
        <v>165786.66666666669</v>
      </c>
      <c r="F45" s="5">
        <v>164766.66666666669</v>
      </c>
      <c r="G45" s="5">
        <v>164766.66666666669</v>
      </c>
      <c r="H45" s="5">
        <v>164766.66666666669</v>
      </c>
    </row>
    <row r="46" spans="1:8" x14ac:dyDescent="0.35">
      <c r="A46" s="4" t="s">
        <v>37</v>
      </c>
      <c r="B46" s="5">
        <v>309448.66666665382</v>
      </c>
      <c r="C46" s="5">
        <v>207205.66666666869</v>
      </c>
      <c r="D46" s="5">
        <v>147693.66666666669</v>
      </c>
      <c r="E46" s="5">
        <v>126068.6666666665</v>
      </c>
      <c r="F46" s="5">
        <v>121455.3333333333</v>
      </c>
      <c r="G46" s="5">
        <v>87506.666666666672</v>
      </c>
      <c r="H46" s="5">
        <v>87506.666666666672</v>
      </c>
    </row>
    <row r="47" spans="1:8" x14ac:dyDescent="0.35">
      <c r="A47" s="4" t="s">
        <v>38</v>
      </c>
      <c r="B47" s="5">
        <v>617833.33333333337</v>
      </c>
      <c r="C47" s="5">
        <v>617833.33333333337</v>
      </c>
      <c r="D47" s="5">
        <v>617833.33333333337</v>
      </c>
      <c r="E47" s="5">
        <v>617833.33333333337</v>
      </c>
      <c r="F47" s="5">
        <v>617833.33333333337</v>
      </c>
      <c r="G47" s="5">
        <v>617833.33333333337</v>
      </c>
      <c r="H47" s="5">
        <v>617833.33333333337</v>
      </c>
    </row>
    <row r="49" spans="1:8" x14ac:dyDescent="0.35">
      <c r="A49" s="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92853.333333333343</v>
      </c>
      <c r="C51">
        <v>116603.3333333333</v>
      </c>
      <c r="D51">
        <v>129323.3333333333</v>
      </c>
      <c r="E51">
        <v>130753.3333333333</v>
      </c>
      <c r="F51">
        <v>130933.3333333333</v>
      </c>
      <c r="G51">
        <v>130933.3333333333</v>
      </c>
      <c r="H51">
        <v>130933.3333333333</v>
      </c>
    </row>
    <row r="52" spans="1:8" x14ac:dyDescent="0.35">
      <c r="A52" t="s">
        <v>41</v>
      </c>
      <c r="B52">
        <v>71115.500000012864</v>
      </c>
      <c r="C52">
        <v>38913.777777775707</v>
      </c>
      <c r="D52">
        <v>26310.499999999942</v>
      </c>
      <c r="E52">
        <v>39718.000000000196</v>
      </c>
      <c r="F52">
        <v>43311.333333333358</v>
      </c>
      <c r="G52">
        <v>77260.000000000015</v>
      </c>
      <c r="H52">
        <v>77260.000000000015</v>
      </c>
    </row>
    <row r="53" spans="1:8" x14ac:dyDescent="0.35">
      <c r="A53" t="s">
        <v>42</v>
      </c>
      <c r="B53">
        <v>-237269.16666666669</v>
      </c>
      <c r="C53">
        <v>-371713.88888888888</v>
      </c>
      <c r="D53">
        <v>-443829.16666666669</v>
      </c>
      <c r="E53">
        <v>-452046.66666666669</v>
      </c>
      <c r="F53">
        <v>-453066.66666666669</v>
      </c>
      <c r="G53">
        <v>-453066.66666666669</v>
      </c>
      <c r="H53">
        <v>-453066.66666666669</v>
      </c>
    </row>
    <row r="54" spans="1:8" x14ac:dyDescent="0.35">
      <c r="A54" t="s">
        <v>43</v>
      </c>
      <c r="B54">
        <v>14.5838568778795</v>
      </c>
      <c r="C54">
        <v>12.37771004251146</v>
      </c>
      <c r="D54">
        <v>11.69726884693741</v>
      </c>
      <c r="E54">
        <v>11.63315454553158</v>
      </c>
      <c r="F54">
        <v>11.625232538474551</v>
      </c>
      <c r="G54">
        <v>11.625232538474551</v>
      </c>
      <c r="H54">
        <v>11.625232538474551</v>
      </c>
    </row>
    <row r="55" spans="1:8" x14ac:dyDescent="0.35">
      <c r="A55" s="12" t="s">
        <v>44</v>
      </c>
      <c r="B55" s="5">
        <v>17.242582442000572</v>
      </c>
      <c r="C55" s="5">
        <v>14.66673354564861</v>
      </c>
      <c r="D55" s="5">
        <v>13.54612831164933</v>
      </c>
      <c r="E55" s="5">
        <v>12.860311032512559</v>
      </c>
      <c r="F55" s="5">
        <v>13.163396451187451</v>
      </c>
      <c r="G55" s="5">
        <v>11.625232538474551</v>
      </c>
      <c r="H55" s="5">
        <v>11.625232538474551</v>
      </c>
    </row>
    <row r="56" spans="1:8" x14ac:dyDescent="0.35">
      <c r="A56" s="12" t="s">
        <v>45</v>
      </c>
      <c r="B56" s="5">
        <v>13.205932707362649</v>
      </c>
      <c r="C56" s="5">
        <v>4.8946972063796208</v>
      </c>
      <c r="D56" s="5">
        <v>2.7559250118074758</v>
      </c>
      <c r="E56" s="5">
        <v>3.9064842216081419</v>
      </c>
      <c r="F56" s="5">
        <v>4.3543094564373508</v>
      </c>
      <c r="G56" s="5">
        <v>6.8597158802638276</v>
      </c>
      <c r="H56" s="5">
        <v>6.8597158802638276</v>
      </c>
    </row>
    <row r="57" spans="1:8" x14ac:dyDescent="0.35">
      <c r="A57" s="12" t="s">
        <v>46</v>
      </c>
      <c r="B57" s="5">
        <v>-44.060164781678353</v>
      </c>
      <c r="C57" s="5">
        <v>-46.755340586748517</v>
      </c>
      <c r="D57" s="5">
        <v>-46.489420626226718</v>
      </c>
      <c r="E57" s="5">
        <v>-44.461281302278053</v>
      </c>
      <c r="F57" s="5">
        <v>-45.549105031705658</v>
      </c>
      <c r="G57" s="5">
        <v>-40.226619313377313</v>
      </c>
      <c r="H57" s="5">
        <v>-40.226619313377313</v>
      </c>
    </row>
    <row r="59" spans="1:8" x14ac:dyDescent="0.35">
      <c r="A59" s="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1516936.7133333329</v>
      </c>
      <c r="C61">
        <v>844763.88888888888</v>
      </c>
      <c r="D61">
        <v>484187.5</v>
      </c>
      <c r="E61">
        <v>443100</v>
      </c>
      <c r="F61">
        <v>438000</v>
      </c>
      <c r="G61">
        <v>438000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1334743.333333333</v>
      </c>
      <c r="C63">
        <v>823528.33333333326</v>
      </c>
      <c r="D63">
        <v>525968.33333333337</v>
      </c>
      <c r="E63">
        <v>417843.33333333331</v>
      </c>
      <c r="F63">
        <v>394776.66666666669</v>
      </c>
      <c r="G63">
        <v>394200</v>
      </c>
      <c r="H63">
        <v>394200</v>
      </c>
    </row>
    <row r="64" spans="1:8" x14ac:dyDescent="0.35">
      <c r="A64" s="4" t="s">
        <v>51</v>
      </c>
      <c r="B64" s="5">
        <v>1.1731662914764081</v>
      </c>
      <c r="C64" s="5">
        <v>1.096434233891425</v>
      </c>
      <c r="D64" s="5">
        <v>1.0552725456620999</v>
      </c>
      <c r="E64" s="5">
        <v>1.050582191780822</v>
      </c>
      <c r="F64" s="5">
        <v>1.05</v>
      </c>
      <c r="G64" s="5">
        <v>1.05</v>
      </c>
      <c r="H64" s="5">
        <v>1.05</v>
      </c>
    </row>
    <row r="65" spans="1:8" x14ac:dyDescent="0.35">
      <c r="A65" s="4" t="s">
        <v>52</v>
      </c>
      <c r="B65" s="5">
        <v>1.333333333333333</v>
      </c>
      <c r="C65" s="5">
        <v>1.333333333333333</v>
      </c>
      <c r="D65" s="5">
        <v>1.333333333333333</v>
      </c>
      <c r="E65" s="5">
        <v>1.333333333333333</v>
      </c>
      <c r="F65" s="5">
        <v>1.333333333333333</v>
      </c>
      <c r="G65" s="5">
        <v>1.333333333333333</v>
      </c>
      <c r="H65" s="5">
        <v>1.333333333333333</v>
      </c>
    </row>
    <row r="66" spans="1:8" x14ac:dyDescent="0.35">
      <c r="A66" s="4" t="s">
        <v>53</v>
      </c>
      <c r="B66" s="5">
        <v>1.1523679604261801</v>
      </c>
      <c r="C66" s="5">
        <v>1.0940100837138509</v>
      </c>
      <c r="D66" s="5">
        <v>1.0600420471841701</v>
      </c>
      <c r="E66" s="5">
        <v>1.0476990106544899</v>
      </c>
      <c r="F66" s="5">
        <v>1.0450658295281581</v>
      </c>
      <c r="G66" s="5">
        <v>1.0449999999999999</v>
      </c>
      <c r="H66" s="5">
        <v>1.0449999999999999</v>
      </c>
    </row>
    <row r="67" spans="1:8" x14ac:dyDescent="0.35">
      <c r="A67" s="4" t="s">
        <v>54</v>
      </c>
      <c r="B67">
        <v>-0.61473944646351508</v>
      </c>
      <c r="C67">
        <v>-0.90755605255799865</v>
      </c>
      <c r="D67">
        <v>-1.089827089739998</v>
      </c>
      <c r="E67">
        <v>-1.1606390830304532</v>
      </c>
      <c r="F67">
        <v>-1.135476516634045</v>
      </c>
      <c r="G67">
        <v>-1.2857142857142854</v>
      </c>
      <c r="H67">
        <v>-1.2857142857142854</v>
      </c>
    </row>
    <row r="68" spans="1:8" x14ac:dyDescent="0.35">
      <c r="A68" s="7" t="s">
        <v>55</v>
      </c>
      <c r="B68" s="9">
        <v>0.35</v>
      </c>
      <c r="C68" s="9">
        <v>0.35</v>
      </c>
      <c r="D68" s="9">
        <v>0.35</v>
      </c>
      <c r="E68" s="9">
        <v>0.35</v>
      </c>
      <c r="F68" s="9">
        <v>0.35</v>
      </c>
      <c r="G68" s="9">
        <v>0.35</v>
      </c>
      <c r="H68" s="9">
        <v>0.35</v>
      </c>
    </row>
    <row r="69" spans="1:8" x14ac:dyDescent="0.35">
      <c r="A69" s="7" t="s">
        <v>56</v>
      </c>
      <c r="B69" s="9">
        <v>2.5</v>
      </c>
      <c r="C69" s="9">
        <v>2.5</v>
      </c>
      <c r="D69" s="9">
        <v>2.5</v>
      </c>
      <c r="E69" s="9">
        <v>2.5</v>
      </c>
      <c r="F69" s="9">
        <v>2.5</v>
      </c>
      <c r="G69" s="9">
        <v>2.5</v>
      </c>
      <c r="H69" s="9">
        <v>2.5</v>
      </c>
    </row>
    <row r="70" spans="1:8" x14ac:dyDescent="0.35">
      <c r="A70" s="4" t="s">
        <v>57</v>
      </c>
      <c r="B70" s="6">
        <f t="shared" ref="B70:H70" si="0">(B61)*B69/1000</f>
        <v>3792.3417833333324</v>
      </c>
      <c r="C70" s="6">
        <f t="shared" si="0"/>
        <v>2111.9097222222222</v>
      </c>
      <c r="D70" s="6">
        <f t="shared" si="0"/>
        <v>1210.46875</v>
      </c>
      <c r="E70" s="6">
        <f t="shared" si="0"/>
        <v>1107.75</v>
      </c>
      <c r="F70" s="6">
        <f t="shared" si="0"/>
        <v>1095</v>
      </c>
      <c r="G70" s="6">
        <f t="shared" si="0"/>
        <v>1095</v>
      </c>
      <c r="H70" s="6">
        <f t="shared" si="0"/>
        <v>1095</v>
      </c>
    </row>
    <row r="71" spans="1:8" x14ac:dyDescent="0.35">
      <c r="A71" s="4" t="s">
        <v>58</v>
      </c>
      <c r="B71" s="6">
        <f t="shared" ref="B71:H71" si="1">(B61)*B68/1000</f>
        <v>530.92784966666648</v>
      </c>
      <c r="C71" s="6">
        <f t="shared" si="1"/>
        <v>295.66736111111106</v>
      </c>
      <c r="D71" s="6">
        <f t="shared" si="1"/>
        <v>169.46562499999999</v>
      </c>
      <c r="E71" s="6">
        <f t="shared" si="1"/>
        <v>155.08500000000001</v>
      </c>
      <c r="F71" s="6">
        <f t="shared" si="1"/>
        <v>153.30000000000001</v>
      </c>
      <c r="G71" s="6">
        <f t="shared" si="1"/>
        <v>153.30000000000001</v>
      </c>
      <c r="H71" s="6">
        <f t="shared" si="1"/>
        <v>153.30000000000001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7212</v>
      </c>
      <c r="C75">
        <v>8598</v>
      </c>
      <c r="D75">
        <v>8760</v>
      </c>
      <c r="E75">
        <v>8760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209531.30133333331</v>
      </c>
      <c r="C76">
        <v>128566.72533333334</v>
      </c>
      <c r="D76">
        <v>119103.33333333333</v>
      </c>
      <c r="E76">
        <v>119103.33333333333</v>
      </c>
      <c r="F76">
        <v>119103.33333333333</v>
      </c>
      <c r="G76">
        <v>119103.33333333333</v>
      </c>
      <c r="H76">
        <v>119103.33333333333</v>
      </c>
    </row>
    <row r="77" spans="1:8" x14ac:dyDescent="0.35">
      <c r="A77" s="12" t="s">
        <v>45</v>
      </c>
      <c r="B77">
        <v>31.760284471585091</v>
      </c>
      <c r="C77">
        <v>14.786150271025479</v>
      </c>
      <c r="D77">
        <v>5.7506539120277962</v>
      </c>
      <c r="E77">
        <v>4.5915631471559291</v>
      </c>
      <c r="F77">
        <v>4.5907680240533848</v>
      </c>
      <c r="G77">
        <v>4.0543294435988537</v>
      </c>
      <c r="H77">
        <v>4.0543294435988537</v>
      </c>
    </row>
    <row r="78" spans="1:8" x14ac:dyDescent="0.35">
      <c r="A78" t="s">
        <v>61</v>
      </c>
      <c r="B78">
        <v>588120</v>
      </c>
      <c r="C78">
        <v>139980</v>
      </c>
      <c r="D78">
        <v>87600</v>
      </c>
      <c r="E78">
        <v>87600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>
        <v>1.06713698630137</v>
      </c>
      <c r="C79">
        <v>1.015979452054794</v>
      </c>
      <c r="D79">
        <v>1.01</v>
      </c>
      <c r="E79">
        <v>1.01</v>
      </c>
      <c r="F79">
        <v>1.01</v>
      </c>
      <c r="G79">
        <v>1.01</v>
      </c>
      <c r="H79">
        <v>1.01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07F2-B85F-416E-B7D0-32944F556A8D}">
  <dimension ref="A1:H79"/>
  <sheetViews>
    <sheetView topLeftCell="A70" workbookViewId="0">
      <selection activeCell="B80" sqref="B80:F87"/>
    </sheetView>
  </sheetViews>
  <sheetFormatPr defaultRowHeight="14.5" x14ac:dyDescent="0.35"/>
  <cols>
    <col min="1" max="1" width="67.5429687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4" t="s">
        <v>5</v>
      </c>
      <c r="B8" s="5">
        <v>30</v>
      </c>
      <c r="C8" s="5">
        <v>35</v>
      </c>
      <c r="D8" s="5">
        <v>40</v>
      </c>
      <c r="E8" s="5">
        <v>45</v>
      </c>
      <c r="F8" s="5">
        <v>50</v>
      </c>
      <c r="G8" s="5">
        <v>55</v>
      </c>
      <c r="H8" s="5">
        <v>60</v>
      </c>
    </row>
    <row r="9" spans="1:8" x14ac:dyDescent="0.35">
      <c r="A9" s="4" t="s">
        <v>6</v>
      </c>
      <c r="B9" s="5">
        <v>18</v>
      </c>
      <c r="C9" s="5">
        <v>23</v>
      </c>
      <c r="D9" s="5">
        <v>28</v>
      </c>
      <c r="E9" s="5">
        <v>33</v>
      </c>
      <c r="F9" s="5">
        <v>38</v>
      </c>
      <c r="G9" s="5">
        <v>43</v>
      </c>
      <c r="H9" s="5">
        <v>48</v>
      </c>
    </row>
    <row r="10" spans="1:8" x14ac:dyDescent="0.35">
      <c r="A10" s="4" t="s">
        <v>7</v>
      </c>
      <c r="B10" s="5">
        <v>0.18</v>
      </c>
      <c r="C10" s="5">
        <v>0.18</v>
      </c>
      <c r="D10" s="5">
        <v>0.18</v>
      </c>
      <c r="E10" s="5">
        <v>0.18</v>
      </c>
      <c r="F10" s="5">
        <v>0.18</v>
      </c>
      <c r="G10" s="5">
        <v>0.18</v>
      </c>
      <c r="H10" s="5">
        <v>0.18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4" t="s">
        <v>16</v>
      </c>
      <c r="B21" s="5">
        <v>20186.933049144242</v>
      </c>
      <c r="C21" s="5">
        <v>34301.834235430659</v>
      </c>
      <c r="D21" s="5">
        <v>43764.832667425137</v>
      </c>
      <c r="E21" s="5">
        <v>44585.337759996088</v>
      </c>
      <c r="F21" s="5">
        <v>44780.40755885312</v>
      </c>
      <c r="G21" s="5">
        <v>44923.68738513875</v>
      </c>
      <c r="H21" s="5">
        <v>44939.124754281598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31</v>
      </c>
      <c r="C25">
        <v>311</v>
      </c>
      <c r="D25">
        <v>832</v>
      </c>
      <c r="E25">
        <v>352</v>
      </c>
      <c r="F25">
        <v>30</v>
      </c>
      <c r="G25">
        <v>0</v>
      </c>
      <c r="H25">
        <v>0</v>
      </c>
    </row>
    <row r="26" spans="1:8" x14ac:dyDescent="0.35">
      <c r="A26" t="s">
        <v>21</v>
      </c>
      <c r="B26">
        <v>2</v>
      </c>
      <c r="C26">
        <v>129</v>
      </c>
      <c r="D26">
        <v>572</v>
      </c>
      <c r="E26">
        <v>148</v>
      </c>
      <c r="F26">
        <v>3</v>
      </c>
      <c r="G26">
        <v>0</v>
      </c>
      <c r="H26">
        <v>0</v>
      </c>
    </row>
    <row r="27" spans="1:8" x14ac:dyDescent="0.35">
      <c r="A27" s="4" t="s">
        <v>22</v>
      </c>
      <c r="B27" s="5">
        <v>4781</v>
      </c>
      <c r="C27" s="5">
        <v>1959</v>
      </c>
      <c r="D27" s="5">
        <v>126</v>
      </c>
      <c r="E27" s="5">
        <v>0</v>
      </c>
      <c r="F27" s="5">
        <v>0</v>
      </c>
      <c r="G27" s="5">
        <v>0</v>
      </c>
      <c r="H27" s="5">
        <v>0</v>
      </c>
    </row>
    <row r="28" spans="1:8" x14ac:dyDescent="0.35">
      <c r="A28" t="s">
        <v>23</v>
      </c>
      <c r="B28">
        <v>56</v>
      </c>
      <c r="C28">
        <v>135</v>
      </c>
      <c r="D28">
        <v>110</v>
      </c>
      <c r="E28">
        <v>70</v>
      </c>
      <c r="F28">
        <v>31</v>
      </c>
      <c r="G28">
        <v>3</v>
      </c>
      <c r="H28">
        <v>0</v>
      </c>
    </row>
    <row r="29" spans="1:8" x14ac:dyDescent="0.35">
      <c r="A29" s="4" t="s">
        <v>24</v>
      </c>
      <c r="B29" s="5">
        <v>4837</v>
      </c>
      <c r="C29" s="5">
        <v>2094</v>
      </c>
      <c r="D29" s="5">
        <v>236</v>
      </c>
      <c r="E29" s="5">
        <v>70</v>
      </c>
      <c r="F29" s="5">
        <v>31</v>
      </c>
      <c r="G29" s="5">
        <v>3</v>
      </c>
      <c r="H29" s="5">
        <v>0</v>
      </c>
    </row>
    <row r="30" spans="1:8" x14ac:dyDescent="0.35">
      <c r="A30" s="4" t="s">
        <v>25</v>
      </c>
      <c r="B30" s="5">
        <v>44.760273972602739</v>
      </c>
      <c r="C30" s="5">
        <v>74.623287671232873</v>
      </c>
      <c r="D30" s="5">
        <v>90.776255707762559</v>
      </c>
      <c r="E30" s="5">
        <v>97.51141552511416</v>
      </c>
      <c r="F30" s="5">
        <v>99.611872146118714</v>
      </c>
      <c r="G30" s="5">
        <v>99.965753424657535</v>
      </c>
      <c r="H30" s="5">
        <v>100</v>
      </c>
    </row>
    <row r="32" spans="1:8" x14ac:dyDescent="0.35">
      <c r="A32" s="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5043.8571428571431</v>
      </c>
      <c r="C34">
        <v>8570.5714285714257</v>
      </c>
      <c r="D34">
        <v>10959.428571428571</v>
      </c>
      <c r="E34">
        <v>11172.857142857139</v>
      </c>
      <c r="F34">
        <v>11223</v>
      </c>
      <c r="G34">
        <v>11259</v>
      </c>
      <c r="H34">
        <v>11262.857142857139</v>
      </c>
    </row>
    <row r="35" spans="1:8" x14ac:dyDescent="0.35">
      <c r="A35" t="s">
        <v>28</v>
      </c>
      <c r="B35">
        <v>1447.9457142857441</v>
      </c>
      <c r="C35">
        <v>2549.6485714284181</v>
      </c>
      <c r="D35">
        <v>2668.8342857141829</v>
      </c>
      <c r="E35">
        <v>1614.985714285725</v>
      </c>
      <c r="F35">
        <v>1403.4857142858659</v>
      </c>
      <c r="G35">
        <v>1232.974285714283</v>
      </c>
      <c r="H35">
        <v>188.09999999999059</v>
      </c>
    </row>
    <row r="36" spans="1:8" x14ac:dyDescent="0.35">
      <c r="A36" t="s">
        <v>29</v>
      </c>
      <c r="B36">
        <v>5.7183673469387619</v>
      </c>
      <c r="C36">
        <v>63.918367346938368</v>
      </c>
      <c r="D36">
        <v>195.7959183673502</v>
      </c>
      <c r="E36">
        <v>71.669387755101468</v>
      </c>
      <c r="F36">
        <v>5.3755102040816283</v>
      </c>
      <c r="G36">
        <v>0</v>
      </c>
      <c r="H36">
        <v>0</v>
      </c>
    </row>
    <row r="37" spans="1:8" x14ac:dyDescent="0.35">
      <c r="A37" s="4" t="s">
        <v>30</v>
      </c>
      <c r="B37" s="5">
        <v>3590.1930612244601</v>
      </c>
      <c r="C37" s="5">
        <v>5957.0044897960706</v>
      </c>
      <c r="D37" s="5">
        <v>8094.7983673470353</v>
      </c>
      <c r="E37" s="5">
        <v>9486.2020408163153</v>
      </c>
      <c r="F37" s="5">
        <v>9814.1387755100495</v>
      </c>
      <c r="G37" s="5">
        <v>10026.025714285721</v>
      </c>
      <c r="H37" s="5">
        <v>11074.75714285715</v>
      </c>
    </row>
    <row r="39" spans="1:8" x14ac:dyDescent="0.35">
      <c r="A39" s="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4077</v>
      </c>
      <c r="C42">
        <v>5842</v>
      </c>
      <c r="D42">
        <v>7143</v>
      </c>
      <c r="E42">
        <v>7953</v>
      </c>
      <c r="F42">
        <v>8539</v>
      </c>
      <c r="G42">
        <v>8751</v>
      </c>
      <c r="H42">
        <v>8760</v>
      </c>
    </row>
    <row r="43" spans="1:8" x14ac:dyDescent="0.35">
      <c r="A43" t="s">
        <v>34</v>
      </c>
      <c r="B43">
        <v>4683</v>
      </c>
      <c r="C43">
        <v>2918</v>
      </c>
      <c r="D43">
        <v>1617</v>
      </c>
      <c r="E43">
        <v>807</v>
      </c>
      <c r="F43">
        <v>221</v>
      </c>
      <c r="G43">
        <v>9</v>
      </c>
      <c r="H43">
        <v>0</v>
      </c>
    </row>
    <row r="44" spans="1:8" x14ac:dyDescent="0.35">
      <c r="A44" t="s">
        <v>35</v>
      </c>
      <c r="B44">
        <v>314003.69999996322</v>
      </c>
      <c r="C44">
        <v>222400.20000001369</v>
      </c>
      <c r="D44">
        <v>154878.3000000155</v>
      </c>
      <c r="E44">
        <v>112839.3000000156</v>
      </c>
      <c r="F44">
        <v>82425.900000006208</v>
      </c>
      <c r="G44">
        <v>71423.099999996019</v>
      </c>
      <c r="H44">
        <v>70955.999999995591</v>
      </c>
    </row>
    <row r="45" spans="1:8" x14ac:dyDescent="0.35">
      <c r="A45" s="4" t="s">
        <v>36</v>
      </c>
      <c r="B45" s="5">
        <v>402704.66666666663</v>
      </c>
      <c r="C45" s="5">
        <v>264530.91666666663</v>
      </c>
      <c r="D45" s="5">
        <v>177950.16666666669</v>
      </c>
      <c r="E45" s="5">
        <v>161621.16666666669</v>
      </c>
      <c r="F45" s="5">
        <v>157604.41666666669</v>
      </c>
      <c r="G45" s="5">
        <v>156159.66666666669</v>
      </c>
      <c r="H45" s="5">
        <v>156006.66666666669</v>
      </c>
    </row>
    <row r="46" spans="1:8" x14ac:dyDescent="0.35">
      <c r="A46" s="4" t="s">
        <v>37</v>
      </c>
      <c r="B46" s="5">
        <v>356503.69999996322</v>
      </c>
      <c r="C46" s="5">
        <v>264900.20000001369</v>
      </c>
      <c r="D46" s="5">
        <v>197378.3000000155</v>
      </c>
      <c r="E46" s="5">
        <v>155339.30000001559</v>
      </c>
      <c r="F46" s="5">
        <v>124925.90000000619</v>
      </c>
      <c r="G46" s="5">
        <v>113923.099999996</v>
      </c>
      <c r="H46" s="5">
        <v>79622.666666662262</v>
      </c>
    </row>
    <row r="47" spans="1:8" x14ac:dyDescent="0.35">
      <c r="A47" s="4" t="s">
        <v>38</v>
      </c>
      <c r="B47" s="5">
        <v>559433.33333333326</v>
      </c>
      <c r="C47" s="5">
        <v>559433.33333333326</v>
      </c>
      <c r="D47" s="5">
        <v>559433.33333333326</v>
      </c>
      <c r="E47" s="5">
        <v>559433.33333333326</v>
      </c>
      <c r="F47" s="5">
        <v>559433.33333333326</v>
      </c>
      <c r="G47" s="5">
        <v>559433.33333333326</v>
      </c>
      <c r="H47" s="5">
        <v>559433.33333333326</v>
      </c>
    </row>
    <row r="49" spans="1:8" x14ac:dyDescent="0.35">
      <c r="A49" s="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78640.333333333343</v>
      </c>
      <c r="C51">
        <v>103327.3333333333</v>
      </c>
      <c r="D51">
        <v>120049.3333333333</v>
      </c>
      <c r="E51">
        <v>121543.3333333333</v>
      </c>
      <c r="F51">
        <v>121894.3333333333</v>
      </c>
      <c r="G51">
        <v>122146.3333333333</v>
      </c>
      <c r="H51">
        <v>122173.3333333333</v>
      </c>
    </row>
    <row r="52" spans="1:8" x14ac:dyDescent="0.35">
      <c r="A52" t="s">
        <v>41</v>
      </c>
      <c r="B52">
        <v>46200.966666703403</v>
      </c>
      <c r="C52">
        <v>-369.28333334706258</v>
      </c>
      <c r="D52">
        <v>-19428.133333348811</v>
      </c>
      <c r="E52">
        <v>6281.8666666510981</v>
      </c>
      <c r="F52">
        <v>32678.516666660478</v>
      </c>
      <c r="G52">
        <v>42236.566666670667</v>
      </c>
      <c r="H52">
        <v>76384.000000004424</v>
      </c>
    </row>
    <row r="53" spans="1:8" x14ac:dyDescent="0.35">
      <c r="A53" t="s">
        <v>42</v>
      </c>
      <c r="B53">
        <v>-156728.66666666669</v>
      </c>
      <c r="C53">
        <v>-294902.41666666663</v>
      </c>
      <c r="D53">
        <v>-381483.16666666663</v>
      </c>
      <c r="E53">
        <v>-397812.16666666663</v>
      </c>
      <c r="F53">
        <v>-401828.91666666663</v>
      </c>
      <c r="G53">
        <v>-403273.66666666663</v>
      </c>
      <c r="H53">
        <v>-403426.66666666663</v>
      </c>
    </row>
    <row r="54" spans="1:8" x14ac:dyDescent="0.35">
      <c r="A54" t="s">
        <v>43</v>
      </c>
      <c r="B54">
        <v>15.591308616799321</v>
      </c>
      <c r="C54">
        <v>12.056061161671719</v>
      </c>
      <c r="D54">
        <v>10.95397744060344</v>
      </c>
      <c r="E54">
        <v>10.8784469164216</v>
      </c>
      <c r="F54">
        <v>10.86111853633907</v>
      </c>
      <c r="G54">
        <v>10.84877283358499</v>
      </c>
      <c r="H54">
        <v>10.84745476069677</v>
      </c>
    </row>
    <row r="55" spans="1:8" x14ac:dyDescent="0.35">
      <c r="A55" s="12" t="s">
        <v>44</v>
      </c>
      <c r="B55" s="5">
        <v>21.904207376110449</v>
      </c>
      <c r="C55" s="5">
        <v>17.345518793938432</v>
      </c>
      <c r="D55" s="5">
        <v>14.830429108350719</v>
      </c>
      <c r="E55" s="5">
        <v>12.812644387118089</v>
      </c>
      <c r="F55" s="5">
        <v>12.420278143763911</v>
      </c>
      <c r="G55" s="5">
        <v>12.182926397175651</v>
      </c>
      <c r="H55" s="5">
        <v>11.031694127227979</v>
      </c>
    </row>
    <row r="56" spans="1:8" x14ac:dyDescent="0.35">
      <c r="A56" s="12" t="s">
        <v>45</v>
      </c>
      <c r="B56" s="5">
        <v>12.868658002181711</v>
      </c>
      <c r="C56" s="5">
        <v>-6.1991447879486912E-2</v>
      </c>
      <c r="D56" s="5">
        <v>-2.4000762528833852</v>
      </c>
      <c r="E56" s="5">
        <v>0.66221092905486179</v>
      </c>
      <c r="F56" s="5">
        <v>3.3297385959332071</v>
      </c>
      <c r="G56" s="5">
        <v>4.2126928326634276</v>
      </c>
      <c r="H56" s="5">
        <v>6.8971264123177232</v>
      </c>
    </row>
    <row r="57" spans="1:8" x14ac:dyDescent="0.35">
      <c r="A57" s="12" t="s">
        <v>46</v>
      </c>
      <c r="B57" s="5">
        <v>-43.65466257494613</v>
      </c>
      <c r="C57" s="5">
        <v>-49.505152660504741</v>
      </c>
      <c r="D57" s="5">
        <v>-47.126951080770738</v>
      </c>
      <c r="E57" s="5">
        <v>-41.93587327731359</v>
      </c>
      <c r="F57" s="5">
        <v>-40.943879626950057</v>
      </c>
      <c r="G57" s="5">
        <v>-40.222684257836747</v>
      </c>
      <c r="H57" s="5">
        <v>-36.427585856983171</v>
      </c>
    </row>
    <row r="59" spans="1:8" x14ac:dyDescent="0.35">
      <c r="A59" s="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1808544.444444444</v>
      </c>
      <c r="C61">
        <v>1040912.5</v>
      </c>
      <c r="D61">
        <v>559908.33333333326</v>
      </c>
      <c r="E61">
        <v>469191.66666666669</v>
      </c>
      <c r="F61">
        <v>446876.38888888888</v>
      </c>
      <c r="G61">
        <v>438850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1744465</v>
      </c>
      <c r="C63">
        <v>1235556.666666667</v>
      </c>
      <c r="D63">
        <v>860435</v>
      </c>
      <c r="E63">
        <v>626885</v>
      </c>
      <c r="F63">
        <v>457921.66666666669</v>
      </c>
      <c r="G63">
        <v>396795</v>
      </c>
      <c r="H63">
        <v>394200</v>
      </c>
    </row>
    <row r="64" spans="1:8" x14ac:dyDescent="0.35">
      <c r="A64" s="4" t="s">
        <v>51</v>
      </c>
      <c r="B64" s="5">
        <v>1.2064548452562149</v>
      </c>
      <c r="C64" s="5">
        <v>1.1188256278538811</v>
      </c>
      <c r="D64" s="5">
        <v>1.063916476407915</v>
      </c>
      <c r="E64" s="5">
        <v>1.053560692541857</v>
      </c>
      <c r="F64" s="5">
        <v>1.051013286402841</v>
      </c>
      <c r="G64" s="5">
        <v>1.0500970319634699</v>
      </c>
      <c r="H64" s="5">
        <v>1.05</v>
      </c>
    </row>
    <row r="65" spans="1:8" x14ac:dyDescent="0.35">
      <c r="A65" s="4" t="s">
        <v>52</v>
      </c>
      <c r="B65" s="5">
        <v>1.333333333333333</v>
      </c>
      <c r="C65" s="5">
        <v>1.333333333333333</v>
      </c>
      <c r="D65" s="5">
        <v>1.333333333333333</v>
      </c>
      <c r="E65" s="5">
        <v>1.333333333333333</v>
      </c>
      <c r="F65" s="5">
        <v>1.333333333333333</v>
      </c>
      <c r="G65" s="5">
        <v>1.333333333333333</v>
      </c>
      <c r="H65" s="5">
        <v>1.333333333333333</v>
      </c>
    </row>
    <row r="66" spans="1:8" x14ac:dyDescent="0.35">
      <c r="A66" s="4" t="s">
        <v>53</v>
      </c>
      <c r="B66" s="5">
        <v>1.1991398401826481</v>
      </c>
      <c r="C66" s="5">
        <v>1.141045281582953</v>
      </c>
      <c r="D66" s="5">
        <v>1.098223173515982</v>
      </c>
      <c r="E66" s="5">
        <v>1.071562214611872</v>
      </c>
      <c r="F66" s="5">
        <v>1.052274162861492</v>
      </c>
      <c r="G66" s="5">
        <v>1.0452962328767119</v>
      </c>
      <c r="H66" s="5">
        <v>1.0449999999999999</v>
      </c>
    </row>
    <row r="67" spans="1:8" x14ac:dyDescent="0.35">
      <c r="A67" s="4" t="s">
        <v>54</v>
      </c>
      <c r="B67">
        <v>-0.40983939055073743</v>
      </c>
      <c r="C67">
        <v>-0.68002334358402639</v>
      </c>
      <c r="D67">
        <v>-0.92406374056473006</v>
      </c>
      <c r="E67">
        <v>-1.0828997763488946</v>
      </c>
      <c r="F67">
        <v>-1.1203354766563982</v>
      </c>
      <c r="G67">
        <v>-1.1445234833659499</v>
      </c>
      <c r="H67">
        <v>-1.2642416829745604</v>
      </c>
    </row>
    <row r="68" spans="1:8" x14ac:dyDescent="0.35">
      <c r="A68" s="7" t="s">
        <v>55</v>
      </c>
      <c r="B68" s="9">
        <v>0.108</v>
      </c>
      <c r="C68" s="9">
        <v>0.108</v>
      </c>
      <c r="D68" s="9">
        <v>0.108</v>
      </c>
      <c r="E68" s="9">
        <v>0.108</v>
      </c>
      <c r="F68" s="9">
        <v>0.108</v>
      </c>
      <c r="G68" s="9">
        <v>0.108</v>
      </c>
      <c r="H68" s="9">
        <v>0.108</v>
      </c>
    </row>
    <row r="69" spans="1:8" x14ac:dyDescent="0.35">
      <c r="A69" s="7" t="s">
        <v>56</v>
      </c>
      <c r="B69" s="9">
        <v>1.8</v>
      </c>
      <c r="C69" s="9">
        <v>1.8</v>
      </c>
      <c r="D69" s="9">
        <v>1.8</v>
      </c>
      <c r="E69" s="9">
        <v>1.8</v>
      </c>
      <c r="F69" s="9">
        <v>1.8</v>
      </c>
      <c r="G69" s="9">
        <v>1.8</v>
      </c>
      <c r="H69" s="9">
        <v>1.8</v>
      </c>
    </row>
    <row r="70" spans="1:8" x14ac:dyDescent="0.35">
      <c r="A70" s="4" t="s">
        <v>57</v>
      </c>
      <c r="B70" s="6">
        <f t="shared" ref="B70:H70" si="0">(B61)*B69/1000</f>
        <v>3255.3799999999997</v>
      </c>
      <c r="C70" s="6">
        <f t="shared" si="0"/>
        <v>1873.6424999999999</v>
      </c>
      <c r="D70" s="6">
        <f t="shared" si="0"/>
        <v>1007.8349999999999</v>
      </c>
      <c r="E70" s="6">
        <f t="shared" si="0"/>
        <v>844.54499999999996</v>
      </c>
      <c r="F70" s="6">
        <f t="shared" si="0"/>
        <v>804.37750000000005</v>
      </c>
      <c r="G70" s="6">
        <f t="shared" si="0"/>
        <v>789.93</v>
      </c>
      <c r="H70" s="6">
        <f t="shared" si="0"/>
        <v>788.4</v>
      </c>
    </row>
    <row r="71" spans="1:8" x14ac:dyDescent="0.35">
      <c r="A71" s="4" t="s">
        <v>58</v>
      </c>
      <c r="B71" s="6">
        <f t="shared" ref="B71:H71" si="1">(B61)*B68/1000</f>
        <v>195.32279999999997</v>
      </c>
      <c r="C71" s="6">
        <f t="shared" si="1"/>
        <v>112.41855</v>
      </c>
      <c r="D71" s="6">
        <f t="shared" si="1"/>
        <v>60.470099999999988</v>
      </c>
      <c r="E71" s="6">
        <f t="shared" si="1"/>
        <v>50.672700000000006</v>
      </c>
      <c r="F71" s="6">
        <f t="shared" si="1"/>
        <v>48.262650000000001</v>
      </c>
      <c r="G71" s="6">
        <f t="shared" si="1"/>
        <v>47.395800000000001</v>
      </c>
      <c r="H71" s="6">
        <f t="shared" si="1"/>
        <v>47.304000000000002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6549</v>
      </c>
      <c r="C75">
        <v>8557</v>
      </c>
      <c r="D75">
        <v>8760</v>
      </c>
      <c r="E75">
        <v>8760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220750.70673333333</v>
      </c>
      <c r="C76">
        <v>112922.31153333333</v>
      </c>
      <c r="D76">
        <v>102021.33333333333</v>
      </c>
      <c r="E76">
        <v>102021.33333333333</v>
      </c>
      <c r="F76">
        <v>102021.33333333333</v>
      </c>
      <c r="G76">
        <v>102021.33333333333</v>
      </c>
      <c r="H76">
        <v>102021.33333333333</v>
      </c>
    </row>
    <row r="77" spans="1:8" x14ac:dyDescent="0.35">
      <c r="A77" s="12" t="s">
        <v>45</v>
      </c>
      <c r="B77">
        <v>50.680828810714893</v>
      </c>
      <c r="C77">
        <v>25.450476895397372</v>
      </c>
      <c r="D77">
        <v>9.3799536304223032</v>
      </c>
      <c r="E77">
        <v>6.2827918988962015</v>
      </c>
      <c r="F77">
        <v>5.6635721793575975</v>
      </c>
      <c r="G77">
        <v>5.3997800201323649</v>
      </c>
      <c r="H77">
        <v>4.8746290900069171</v>
      </c>
    </row>
    <row r="78" spans="1:8" x14ac:dyDescent="0.35">
      <c r="A78" t="s">
        <v>61</v>
      </c>
      <c r="B78">
        <v>802490</v>
      </c>
      <c r="C78">
        <v>153236.66666666669</v>
      </c>
      <c r="D78">
        <v>87600</v>
      </c>
      <c r="E78">
        <v>87600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>
        <v>1.091608447488585</v>
      </c>
      <c r="C79">
        <v>1.0174927701674279</v>
      </c>
      <c r="D79">
        <v>1.01</v>
      </c>
      <c r="E79">
        <v>1.01</v>
      </c>
      <c r="F79">
        <v>1.01</v>
      </c>
      <c r="G79">
        <v>1.01</v>
      </c>
      <c r="H79">
        <v>1.01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D353-A854-4C7D-B7F4-B9C464D18410}">
  <dimension ref="A1:H79"/>
  <sheetViews>
    <sheetView topLeftCell="A65" workbookViewId="0">
      <selection activeCell="B80" sqref="B80:G88"/>
    </sheetView>
  </sheetViews>
  <sheetFormatPr defaultRowHeight="14.5" x14ac:dyDescent="0.35"/>
  <cols>
    <col min="1" max="1" width="62.72656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4" t="s">
        <v>5</v>
      </c>
      <c r="B8" s="5">
        <v>30</v>
      </c>
      <c r="C8" s="5">
        <v>35</v>
      </c>
      <c r="D8" s="5">
        <v>40</v>
      </c>
      <c r="E8" s="5">
        <v>45</v>
      </c>
      <c r="F8" s="5">
        <v>50</v>
      </c>
      <c r="G8" s="5">
        <v>55</v>
      </c>
      <c r="H8" s="5">
        <v>60</v>
      </c>
    </row>
    <row r="9" spans="1:8" x14ac:dyDescent="0.35">
      <c r="A9" s="4" t="s">
        <v>6</v>
      </c>
      <c r="B9" s="5">
        <v>18</v>
      </c>
      <c r="C9" s="5">
        <v>23</v>
      </c>
      <c r="D9" s="5">
        <v>28</v>
      </c>
      <c r="E9" s="5">
        <v>33</v>
      </c>
      <c r="F9" s="5">
        <v>38</v>
      </c>
      <c r="G9" s="5">
        <v>43</v>
      </c>
      <c r="H9" s="5">
        <v>48</v>
      </c>
    </row>
    <row r="10" spans="1:8" x14ac:dyDescent="0.35">
      <c r="A10" s="4" t="s">
        <v>7</v>
      </c>
      <c r="B10" s="5">
        <v>0.2</v>
      </c>
      <c r="C10" s="5">
        <v>0.2</v>
      </c>
      <c r="D10" s="5">
        <v>0.2</v>
      </c>
      <c r="E10" s="5">
        <v>0.2</v>
      </c>
      <c r="F10" s="5">
        <v>0.2</v>
      </c>
      <c r="G10" s="5">
        <v>0.2</v>
      </c>
      <c r="H10" s="5">
        <v>0.2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4" t="s">
        <v>16</v>
      </c>
      <c r="B21" s="5">
        <v>26017.11279543069</v>
      </c>
      <c r="C21" s="5">
        <v>39514.519215999062</v>
      </c>
      <c r="D21" s="5">
        <v>44000.521762282093</v>
      </c>
      <c r="E21" s="5">
        <v>44529.10094856748</v>
      </c>
      <c r="F21" s="5">
        <v>44552.423039996043</v>
      </c>
      <c r="G21" s="5">
        <v>44552.423039996043</v>
      </c>
      <c r="H21" s="5">
        <v>44552.423039996043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3</v>
      </c>
      <c r="C25">
        <v>2</v>
      </c>
      <c r="D25">
        <v>15</v>
      </c>
      <c r="E25">
        <v>0</v>
      </c>
      <c r="F25">
        <v>0</v>
      </c>
      <c r="G25">
        <v>0</v>
      </c>
      <c r="H25">
        <v>0</v>
      </c>
    </row>
    <row r="26" spans="1:8" x14ac:dyDescent="0.35">
      <c r="A26" t="s">
        <v>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4" t="s">
        <v>22</v>
      </c>
      <c r="B27" s="5">
        <v>3666</v>
      </c>
      <c r="C27" s="5">
        <v>1042</v>
      </c>
      <c r="D27" s="5">
        <v>73</v>
      </c>
      <c r="E27" s="5">
        <v>0</v>
      </c>
      <c r="F27" s="5">
        <v>0</v>
      </c>
      <c r="G27" s="5">
        <v>0</v>
      </c>
      <c r="H27" s="5">
        <v>0</v>
      </c>
    </row>
    <row r="28" spans="1:8" x14ac:dyDescent="0.35">
      <c r="A28" t="s">
        <v>23</v>
      </c>
      <c r="B28">
        <v>38</v>
      </c>
      <c r="C28">
        <v>39</v>
      </c>
      <c r="D28">
        <v>50</v>
      </c>
      <c r="E28">
        <v>5</v>
      </c>
      <c r="F28">
        <v>0</v>
      </c>
      <c r="G28">
        <v>0</v>
      </c>
      <c r="H28">
        <v>0</v>
      </c>
    </row>
    <row r="29" spans="1:8" x14ac:dyDescent="0.35">
      <c r="A29" s="4" t="s">
        <v>24</v>
      </c>
      <c r="B29" s="5">
        <v>3704</v>
      </c>
      <c r="C29" s="5">
        <v>1081</v>
      </c>
      <c r="D29" s="5">
        <v>123</v>
      </c>
      <c r="E29" s="5">
        <v>5</v>
      </c>
      <c r="F29" s="5">
        <v>0</v>
      </c>
      <c r="G29" s="5">
        <v>0</v>
      </c>
      <c r="H29" s="5">
        <v>0</v>
      </c>
    </row>
    <row r="30" spans="1:8" x14ac:dyDescent="0.35">
      <c r="A30" s="4" t="s">
        <v>25</v>
      </c>
      <c r="B30" s="5">
        <v>57.716894977168963</v>
      </c>
      <c r="C30" s="5">
        <v>87.659817351598164</v>
      </c>
      <c r="D30" s="5">
        <v>98.595890410958901</v>
      </c>
      <c r="E30" s="5">
        <v>99.942922374429216</v>
      </c>
      <c r="F30" s="5">
        <v>100</v>
      </c>
      <c r="G30" s="5">
        <v>100</v>
      </c>
      <c r="H30" s="5">
        <v>100</v>
      </c>
    </row>
    <row r="32" spans="1:8" x14ac:dyDescent="0.35">
      <c r="A32" s="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6500.5714285714284</v>
      </c>
      <c r="C34">
        <v>9873</v>
      </c>
      <c r="D34">
        <v>11104.714285714281</v>
      </c>
      <c r="E34">
        <v>11256.428571428571</v>
      </c>
      <c r="F34">
        <v>11262.857142857139</v>
      </c>
      <c r="G34">
        <v>11262.857142857139</v>
      </c>
      <c r="H34">
        <v>11262.857142857139</v>
      </c>
    </row>
    <row r="35" spans="1:8" x14ac:dyDescent="0.35">
      <c r="A35" t="s">
        <v>28</v>
      </c>
      <c r="B35">
        <v>545.09142857143377</v>
      </c>
      <c r="C35">
        <v>606.36857142857355</v>
      </c>
      <c r="D35">
        <v>1187.5885714285539</v>
      </c>
      <c r="E35">
        <v>542.49428571426552</v>
      </c>
      <c r="F35">
        <v>1.5428571428571429</v>
      </c>
      <c r="G35">
        <v>0</v>
      </c>
      <c r="H35">
        <v>0</v>
      </c>
    </row>
    <row r="36" spans="1:8" x14ac:dyDescent="0.35">
      <c r="A36" t="s">
        <v>29</v>
      </c>
      <c r="B36">
        <v>0.24489795918367349</v>
      </c>
      <c r="C36">
        <v>0</v>
      </c>
      <c r="D36">
        <v>1.983673469387754</v>
      </c>
      <c r="E36">
        <v>0</v>
      </c>
      <c r="F36">
        <v>0</v>
      </c>
      <c r="G36">
        <v>0</v>
      </c>
      <c r="H36">
        <v>0</v>
      </c>
    </row>
    <row r="37" spans="1:8" x14ac:dyDescent="0.35">
      <c r="A37" s="4" t="s">
        <v>30</v>
      </c>
      <c r="B37" s="5">
        <v>5955.2351020408096</v>
      </c>
      <c r="C37" s="5">
        <v>9266.6314285714234</v>
      </c>
      <c r="D37" s="5">
        <v>9915.1420408163431</v>
      </c>
      <c r="E37" s="5">
        <v>10713.934285714309</v>
      </c>
      <c r="F37" s="5">
        <v>11261.314285714279</v>
      </c>
      <c r="G37" s="5">
        <v>11262.857142857139</v>
      </c>
      <c r="H37" s="5">
        <v>11262.857142857139</v>
      </c>
    </row>
    <row r="39" spans="1:8" x14ac:dyDescent="0.35">
      <c r="A39" s="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6359</v>
      </c>
      <c r="C42">
        <v>8039</v>
      </c>
      <c r="D42">
        <v>8595</v>
      </c>
      <c r="E42">
        <v>8752</v>
      </c>
      <c r="F42">
        <v>8760</v>
      </c>
      <c r="G42">
        <v>8760</v>
      </c>
      <c r="H42">
        <v>8760</v>
      </c>
    </row>
    <row r="43" spans="1:8" x14ac:dyDescent="0.35">
      <c r="A43" t="s">
        <v>34</v>
      </c>
      <c r="B43">
        <v>2401</v>
      </c>
      <c r="C43">
        <v>721</v>
      </c>
      <c r="D43">
        <v>165</v>
      </c>
      <c r="E43">
        <v>8</v>
      </c>
      <c r="F43">
        <v>0</v>
      </c>
      <c r="G43">
        <v>0</v>
      </c>
      <c r="H43">
        <v>0</v>
      </c>
    </row>
    <row r="44" spans="1:8" x14ac:dyDescent="0.35">
      <c r="A44" t="s">
        <v>35</v>
      </c>
      <c r="B44">
        <v>217297.6666666611</v>
      </c>
      <c r="C44">
        <v>120417.6666666676</v>
      </c>
      <c r="D44">
        <v>88354.999999999622</v>
      </c>
      <c r="E44">
        <v>79301.333333333314</v>
      </c>
      <c r="F44">
        <v>78840</v>
      </c>
      <c r="G44">
        <v>78840</v>
      </c>
      <c r="H44">
        <v>78840</v>
      </c>
    </row>
    <row r="45" spans="1:8" x14ac:dyDescent="0.35">
      <c r="A45" s="4" t="s">
        <v>36</v>
      </c>
      <c r="B45" s="5">
        <v>374660</v>
      </c>
      <c r="C45" s="5">
        <v>226023.33333333331</v>
      </c>
      <c r="D45" s="5">
        <v>171736.66666666669</v>
      </c>
      <c r="E45" s="5">
        <v>165050</v>
      </c>
      <c r="F45" s="5">
        <v>164766.66666666669</v>
      </c>
      <c r="G45" s="5">
        <v>164766.66666666669</v>
      </c>
      <c r="H45" s="5">
        <v>164766.66666666669</v>
      </c>
    </row>
    <row r="46" spans="1:8" x14ac:dyDescent="0.35">
      <c r="A46" s="4" t="s">
        <v>37</v>
      </c>
      <c r="B46" s="5">
        <v>259797.6666666611</v>
      </c>
      <c r="C46" s="5">
        <v>162917.66666666759</v>
      </c>
      <c r="D46" s="5">
        <v>130854.99999999961</v>
      </c>
      <c r="E46" s="5">
        <v>121801.3333333333</v>
      </c>
      <c r="F46" s="5">
        <v>87506.666666666672</v>
      </c>
      <c r="G46" s="5">
        <v>87506.666666666672</v>
      </c>
      <c r="H46" s="5">
        <v>87506.666666666672</v>
      </c>
    </row>
    <row r="47" spans="1:8" x14ac:dyDescent="0.35">
      <c r="A47" s="4" t="s">
        <v>38</v>
      </c>
      <c r="B47" s="5">
        <v>617833.33333333337</v>
      </c>
      <c r="C47" s="5">
        <v>617833.33333333337</v>
      </c>
      <c r="D47" s="5">
        <v>617833.33333333337</v>
      </c>
      <c r="E47" s="5">
        <v>617833.33333333337</v>
      </c>
      <c r="F47" s="5">
        <v>617833.33333333337</v>
      </c>
      <c r="G47" s="5">
        <v>617833.33333333337</v>
      </c>
      <c r="H47" s="5">
        <v>617833.33333333337</v>
      </c>
    </row>
    <row r="49" spans="1:8" x14ac:dyDescent="0.35">
      <c r="A49" s="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93893.333333333343</v>
      </c>
      <c r="C51">
        <v>120123.3333333333</v>
      </c>
      <c r="D51">
        <v>129703.3333333333</v>
      </c>
      <c r="E51">
        <v>130883.3333333333</v>
      </c>
      <c r="F51">
        <v>130933.3333333333</v>
      </c>
      <c r="G51">
        <v>130933.3333333333</v>
      </c>
      <c r="H51">
        <v>130933.3333333333</v>
      </c>
    </row>
    <row r="52" spans="1:8" x14ac:dyDescent="0.35">
      <c r="A52" t="s">
        <v>41</v>
      </c>
      <c r="B52">
        <v>114862.3333333389</v>
      </c>
      <c r="C52">
        <v>63105.666666665697</v>
      </c>
      <c r="D52">
        <v>40881.666666667057</v>
      </c>
      <c r="E52">
        <v>43248.666666666693</v>
      </c>
      <c r="F52">
        <v>77260.000000000015</v>
      </c>
      <c r="G52">
        <v>77260.000000000015</v>
      </c>
      <c r="H52">
        <v>77260.000000000015</v>
      </c>
    </row>
    <row r="53" spans="1:8" x14ac:dyDescent="0.35">
      <c r="A53" t="s">
        <v>42</v>
      </c>
      <c r="B53">
        <v>-243173.3333333334</v>
      </c>
      <c r="C53">
        <v>-391810.00000000012</v>
      </c>
      <c r="D53">
        <v>-446096.66666666669</v>
      </c>
      <c r="E53">
        <v>-452783.33333333337</v>
      </c>
      <c r="F53">
        <v>-453066.66666666669</v>
      </c>
      <c r="G53">
        <v>-453066.66666666669</v>
      </c>
      <c r="H53">
        <v>-453066.66666666669</v>
      </c>
    </row>
    <row r="54" spans="1:8" x14ac:dyDescent="0.35">
      <c r="A54" t="s">
        <v>43</v>
      </c>
      <c r="B54">
        <v>14.443858415377401</v>
      </c>
      <c r="C54">
        <v>12.16685235828354</v>
      </c>
      <c r="D54">
        <v>11.68002435687975</v>
      </c>
      <c r="E54">
        <v>11.62742982845781</v>
      </c>
      <c r="F54">
        <v>11.625232538474551</v>
      </c>
      <c r="G54">
        <v>11.625232538474551</v>
      </c>
      <c r="H54">
        <v>11.625232538474551</v>
      </c>
    </row>
    <row r="55" spans="1:8" x14ac:dyDescent="0.35">
      <c r="A55" s="12" t="s">
        <v>44</v>
      </c>
      <c r="B55" s="5">
        <v>15.766519998707841</v>
      </c>
      <c r="C55" s="5">
        <v>12.96299893432278</v>
      </c>
      <c r="D55" s="5">
        <v>13.081338905625451</v>
      </c>
      <c r="E55" s="5">
        <v>12.21617846843152</v>
      </c>
      <c r="F55" s="5">
        <v>11.626825254262799</v>
      </c>
      <c r="G55" s="5">
        <v>11.625232538474551</v>
      </c>
      <c r="H55" s="5">
        <v>11.625232538474551</v>
      </c>
    </row>
    <row r="56" spans="1:8" x14ac:dyDescent="0.35">
      <c r="A56" s="12" t="s">
        <v>45</v>
      </c>
      <c r="B56" s="5">
        <v>19.287623639573269</v>
      </c>
      <c r="C56" s="5">
        <v>6.8099899249358922</v>
      </c>
      <c r="D56" s="5">
        <v>4.1231549178392974</v>
      </c>
      <c r="E56" s="5">
        <v>4.0366746251499217</v>
      </c>
      <c r="F56" s="5">
        <v>6.8606556961126097</v>
      </c>
      <c r="G56" s="5">
        <v>6.8597158802638276</v>
      </c>
      <c r="H56" s="5">
        <v>6.8597158802638276</v>
      </c>
    </row>
    <row r="57" spans="1:8" x14ac:dyDescent="0.35">
      <c r="A57" s="12" t="s">
        <v>46</v>
      </c>
      <c r="B57" s="5">
        <v>-40.833540434029189</v>
      </c>
      <c r="C57" s="5">
        <v>-42.281815460141033</v>
      </c>
      <c r="D57" s="5">
        <v>-44.991454971626233</v>
      </c>
      <c r="E57" s="5">
        <v>-42.261163943955061</v>
      </c>
      <c r="F57" s="5">
        <v>-40.232130564139517</v>
      </c>
      <c r="G57" s="5">
        <v>-40.226619313377313</v>
      </c>
      <c r="H57" s="5">
        <v>-40.226619313377313</v>
      </c>
    </row>
    <row r="59" spans="1:8" x14ac:dyDescent="0.35">
      <c r="A59" s="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1487466.666666667</v>
      </c>
      <c r="C61">
        <v>744283.33333333326</v>
      </c>
      <c r="D61">
        <v>472850</v>
      </c>
      <c r="E61">
        <v>439416.66666666669</v>
      </c>
      <c r="F61">
        <v>438000</v>
      </c>
      <c r="G61">
        <v>438000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1086488.333333333</v>
      </c>
      <c r="C63">
        <v>602088.33333333337</v>
      </c>
      <c r="D63">
        <v>441775</v>
      </c>
      <c r="E63">
        <v>396506.66666666669</v>
      </c>
      <c r="F63">
        <v>394200</v>
      </c>
      <c r="G63">
        <v>394200</v>
      </c>
      <c r="H63">
        <v>394200</v>
      </c>
    </row>
    <row r="64" spans="1:8" x14ac:dyDescent="0.35">
      <c r="A64" s="4" t="s">
        <v>51</v>
      </c>
      <c r="B64" s="5">
        <v>1.1698021308980211</v>
      </c>
      <c r="C64" s="5">
        <v>1.0849638508371391</v>
      </c>
      <c r="D64" s="5">
        <v>1.0539783105022831</v>
      </c>
      <c r="E64" s="5">
        <v>1.0501617199391171</v>
      </c>
      <c r="F64" s="5">
        <v>1.05</v>
      </c>
      <c r="G64" s="5">
        <v>1.05</v>
      </c>
      <c r="H64" s="5">
        <v>1.05</v>
      </c>
    </row>
    <row r="65" spans="1:8" x14ac:dyDescent="0.35">
      <c r="A65" s="4" t="s">
        <v>52</v>
      </c>
      <c r="B65" s="5">
        <v>1.333333333333333</v>
      </c>
      <c r="C65" s="5">
        <v>1.333333333333333</v>
      </c>
      <c r="D65" s="5">
        <v>1.333333333333333</v>
      </c>
      <c r="E65" s="5">
        <v>1.333333333333333</v>
      </c>
      <c r="F65" s="5">
        <v>1.333333333333333</v>
      </c>
      <c r="G65" s="5">
        <v>1.333333333333333</v>
      </c>
      <c r="H65" s="5">
        <v>1.333333333333333</v>
      </c>
    </row>
    <row r="66" spans="1:8" x14ac:dyDescent="0.35">
      <c r="A66" s="4" t="s">
        <v>53</v>
      </c>
      <c r="B66" s="5">
        <v>1.1240283485540341</v>
      </c>
      <c r="C66" s="5">
        <v>1.068731544901065</v>
      </c>
      <c r="D66" s="5">
        <v>1.050430936073059</v>
      </c>
      <c r="E66" s="5">
        <v>1.045263318112633</v>
      </c>
      <c r="F66" s="5">
        <v>1.0449999999999999</v>
      </c>
      <c r="G66" s="5">
        <v>1.0449999999999999</v>
      </c>
      <c r="H66" s="5">
        <v>1.0449999999999999</v>
      </c>
    </row>
    <row r="67" spans="1:8" x14ac:dyDescent="0.35">
      <c r="A67" s="4" t="s">
        <v>54</v>
      </c>
      <c r="B67">
        <v>-0.67982135868045768</v>
      </c>
      <c r="C67">
        <v>-1.0578346379647745</v>
      </c>
      <c r="D67">
        <v>-1.1318655297735551</v>
      </c>
      <c r="E67">
        <v>-1.2230518590998072</v>
      </c>
      <c r="F67">
        <v>-1.2855381604696665</v>
      </c>
      <c r="G67">
        <v>-1.2857142857142854</v>
      </c>
      <c r="H67">
        <v>-1.2857142857142854</v>
      </c>
    </row>
    <row r="68" spans="1:8" x14ac:dyDescent="0.35">
      <c r="A68" s="7" t="s">
        <v>55</v>
      </c>
      <c r="B68" s="9">
        <v>0.19</v>
      </c>
      <c r="C68" s="9">
        <v>0.19</v>
      </c>
      <c r="D68" s="9">
        <v>0.19</v>
      </c>
      <c r="E68" s="9">
        <v>0.19</v>
      </c>
      <c r="F68" s="9">
        <v>0.19</v>
      </c>
      <c r="G68" s="9">
        <v>0.19</v>
      </c>
      <c r="H68" s="9">
        <v>0.19</v>
      </c>
    </row>
    <row r="69" spans="1:8" x14ac:dyDescent="0.35">
      <c r="A69" s="7" t="s">
        <v>56</v>
      </c>
      <c r="B69" s="9">
        <v>1.5</v>
      </c>
      <c r="C69" s="9">
        <v>1.5</v>
      </c>
      <c r="D69" s="9">
        <v>1.5</v>
      </c>
      <c r="E69" s="9">
        <v>1.5</v>
      </c>
      <c r="F69" s="9">
        <v>1.5</v>
      </c>
      <c r="G69" s="9">
        <v>1.5</v>
      </c>
      <c r="H69" s="9">
        <v>1.5</v>
      </c>
    </row>
    <row r="70" spans="1:8" x14ac:dyDescent="0.35">
      <c r="A70" s="4" t="s">
        <v>57</v>
      </c>
      <c r="B70" s="6">
        <f t="shared" ref="B70:H70" si="0">(B61)*B69/1000</f>
        <v>2231.2000000000003</v>
      </c>
      <c r="C70" s="6">
        <f t="shared" si="0"/>
        <v>1116.425</v>
      </c>
      <c r="D70" s="6">
        <f t="shared" si="0"/>
        <v>709.27499999999998</v>
      </c>
      <c r="E70" s="6">
        <f t="shared" si="0"/>
        <v>659.125</v>
      </c>
      <c r="F70" s="6">
        <f t="shared" si="0"/>
        <v>657</v>
      </c>
      <c r="G70" s="6">
        <f t="shared" si="0"/>
        <v>657</v>
      </c>
      <c r="H70" s="6">
        <f t="shared" si="0"/>
        <v>657</v>
      </c>
    </row>
    <row r="71" spans="1:8" x14ac:dyDescent="0.35">
      <c r="A71" s="4" t="s">
        <v>58</v>
      </c>
      <c r="B71" s="6">
        <f t="shared" ref="B71:H71" si="1">(B61)*B68/1000</f>
        <v>282.61866666666674</v>
      </c>
      <c r="C71" s="6">
        <f t="shared" si="1"/>
        <v>141.41383333333332</v>
      </c>
      <c r="D71" s="6">
        <f t="shared" si="1"/>
        <v>89.841499999999996</v>
      </c>
      <c r="E71" s="6">
        <f t="shared" si="1"/>
        <v>83.489166666666677</v>
      </c>
      <c r="F71" s="6">
        <f t="shared" si="1"/>
        <v>83.22</v>
      </c>
      <c r="G71" s="6">
        <f t="shared" si="1"/>
        <v>83.22</v>
      </c>
      <c r="H71" s="6">
        <f t="shared" si="1"/>
        <v>83.22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7514</v>
      </c>
      <c r="C75">
        <v>8653</v>
      </c>
      <c r="D75">
        <v>8760</v>
      </c>
      <c r="E75">
        <v>8760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173104.66933333332</v>
      </c>
      <c r="C76">
        <v>103721.34533333333</v>
      </c>
      <c r="D76">
        <v>97203.333333333328</v>
      </c>
      <c r="E76">
        <v>97203.333333333328</v>
      </c>
      <c r="F76">
        <v>97203.333333333328</v>
      </c>
      <c r="G76">
        <v>97203.333333333328</v>
      </c>
      <c r="H76">
        <v>97203.333333333328</v>
      </c>
    </row>
    <row r="77" spans="1:8" x14ac:dyDescent="0.35">
      <c r="A77" s="12" t="s">
        <v>45</v>
      </c>
      <c r="B77">
        <v>33.845066939102928</v>
      </c>
      <c r="C77">
        <v>13.198106447064603</v>
      </c>
      <c r="D77">
        <v>7.5171220973448412</v>
      </c>
      <c r="E77">
        <v>6.3325632636305889</v>
      </c>
      <c r="F77">
        <v>5.9995957504748718</v>
      </c>
      <c r="G77">
        <v>5.9987738880432984</v>
      </c>
      <c r="H77">
        <v>5.9987738880432984</v>
      </c>
    </row>
    <row r="78" spans="1:8" x14ac:dyDescent="0.35">
      <c r="A78" t="s">
        <v>61</v>
      </c>
      <c r="B78">
        <v>490473.33333333302</v>
      </c>
      <c r="C78">
        <v>122196.6666666667</v>
      </c>
      <c r="D78">
        <v>87600</v>
      </c>
      <c r="E78">
        <v>87600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>
        <v>1.0559901065449011</v>
      </c>
      <c r="C79">
        <v>1.0139493911719939</v>
      </c>
      <c r="D79">
        <v>1.01</v>
      </c>
      <c r="E79">
        <v>1.01</v>
      </c>
      <c r="F79">
        <v>1.01</v>
      </c>
      <c r="G79">
        <v>1.01</v>
      </c>
      <c r="H79">
        <v>1.01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6DA4-54A3-468F-95CA-2CD2CC549B84}">
  <dimension ref="A1:H79"/>
  <sheetViews>
    <sheetView topLeftCell="A76" workbookViewId="0">
      <selection activeCell="B81" sqref="B81:F88"/>
    </sheetView>
  </sheetViews>
  <sheetFormatPr defaultRowHeight="14.5" x14ac:dyDescent="0.35"/>
  <cols>
    <col min="1" max="1" width="74.4531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4" t="s">
        <v>5</v>
      </c>
      <c r="B8" s="5">
        <v>30</v>
      </c>
      <c r="C8" s="5">
        <v>35</v>
      </c>
      <c r="D8" s="5">
        <v>40</v>
      </c>
      <c r="E8" s="5">
        <v>45</v>
      </c>
      <c r="F8" s="5">
        <v>50</v>
      </c>
      <c r="G8" s="5">
        <v>55</v>
      </c>
      <c r="H8" s="5">
        <v>60</v>
      </c>
    </row>
    <row r="9" spans="1:8" x14ac:dyDescent="0.35">
      <c r="A9" s="4" t="s">
        <v>6</v>
      </c>
      <c r="B9" s="5">
        <v>18</v>
      </c>
      <c r="C9" s="5">
        <v>23</v>
      </c>
      <c r="D9" s="5">
        <v>28</v>
      </c>
      <c r="E9" s="5">
        <v>33</v>
      </c>
      <c r="F9" s="5">
        <v>38</v>
      </c>
      <c r="G9" s="5">
        <v>43</v>
      </c>
      <c r="H9" s="5">
        <v>48</v>
      </c>
    </row>
    <row r="10" spans="1:8" x14ac:dyDescent="0.35">
      <c r="A10" s="4" t="s">
        <v>7</v>
      </c>
      <c r="B10" s="5">
        <v>0.15</v>
      </c>
      <c r="C10" s="5">
        <v>0.15</v>
      </c>
      <c r="D10" s="5">
        <v>0.15</v>
      </c>
      <c r="E10" s="5">
        <v>0.15</v>
      </c>
      <c r="F10" s="5">
        <v>0.15</v>
      </c>
      <c r="G10" s="5">
        <v>0.15</v>
      </c>
      <c r="H10" s="5">
        <v>0.15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4" t="s">
        <v>16</v>
      </c>
      <c r="B21" s="5">
        <v>30257.243520002659</v>
      </c>
      <c r="C21" s="5">
        <v>39761.046911998921</v>
      </c>
      <c r="D21" s="5">
        <v>44103.519885710608</v>
      </c>
      <c r="E21" s="5">
        <v>44562.60300799604</v>
      </c>
      <c r="F21" s="5">
        <v>44595.414393138883</v>
      </c>
      <c r="G21" s="5">
        <v>44599.757897138872</v>
      </c>
      <c r="H21" s="5">
        <v>44599.757897138872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2</v>
      </c>
      <c r="C25">
        <v>24</v>
      </c>
      <c r="D25">
        <v>29</v>
      </c>
      <c r="E25">
        <v>4</v>
      </c>
      <c r="F25">
        <v>0</v>
      </c>
      <c r="G25">
        <v>0</v>
      </c>
      <c r="H25">
        <v>0</v>
      </c>
    </row>
    <row r="26" spans="1:8" x14ac:dyDescent="0.35">
      <c r="A26" t="s">
        <v>21</v>
      </c>
      <c r="B26">
        <v>0</v>
      </c>
      <c r="C26">
        <v>6</v>
      </c>
      <c r="D26">
        <v>2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4" t="s">
        <v>22</v>
      </c>
      <c r="B27" s="5">
        <v>2845</v>
      </c>
      <c r="C27" s="5">
        <v>978</v>
      </c>
      <c r="D27" s="5">
        <v>82</v>
      </c>
      <c r="E27" s="5">
        <v>0</v>
      </c>
      <c r="F27" s="5">
        <v>0</v>
      </c>
      <c r="G27" s="5">
        <v>0</v>
      </c>
      <c r="H27" s="5">
        <v>0</v>
      </c>
    </row>
    <row r="28" spans="1:8" x14ac:dyDescent="0.35">
      <c r="A28" t="s">
        <v>23</v>
      </c>
      <c r="B28">
        <v>35</v>
      </c>
      <c r="C28">
        <v>54</v>
      </c>
      <c r="D28">
        <v>28</v>
      </c>
      <c r="E28">
        <v>8</v>
      </c>
      <c r="F28">
        <v>1</v>
      </c>
      <c r="G28">
        <v>0</v>
      </c>
      <c r="H28">
        <v>0</v>
      </c>
    </row>
    <row r="29" spans="1:8" x14ac:dyDescent="0.35">
      <c r="A29" s="4" t="s">
        <v>24</v>
      </c>
      <c r="B29" s="5">
        <v>2880</v>
      </c>
      <c r="C29" s="5">
        <v>1032</v>
      </c>
      <c r="D29" s="5">
        <v>110</v>
      </c>
      <c r="E29" s="5">
        <v>8</v>
      </c>
      <c r="F29" s="5">
        <v>1</v>
      </c>
      <c r="G29" s="5">
        <v>0</v>
      </c>
      <c r="H29" s="5">
        <v>0</v>
      </c>
    </row>
    <row r="30" spans="1:8" x14ac:dyDescent="0.35">
      <c r="A30" s="4" t="s">
        <v>25</v>
      </c>
      <c r="B30" s="5">
        <v>67.123287671232873</v>
      </c>
      <c r="C30" s="5">
        <v>88.150684931506845</v>
      </c>
      <c r="D30" s="5">
        <v>98.721461187214615</v>
      </c>
      <c r="E30" s="5">
        <v>99.908675799086751</v>
      </c>
      <c r="F30" s="5">
        <v>99.98858447488584</v>
      </c>
      <c r="G30" s="5">
        <v>100</v>
      </c>
      <c r="H30" s="5">
        <v>100</v>
      </c>
    </row>
    <row r="32" spans="1:8" x14ac:dyDescent="0.35">
      <c r="A32" s="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7560</v>
      </c>
      <c r="C34">
        <v>9935.9999999999982</v>
      </c>
      <c r="D34">
        <v>11121.428571428571</v>
      </c>
      <c r="E34">
        <v>11252.571428571429</v>
      </c>
      <c r="F34">
        <v>11261.571428571429</v>
      </c>
      <c r="G34">
        <v>11262.857142857139</v>
      </c>
      <c r="H34">
        <v>11262.857142857139</v>
      </c>
    </row>
    <row r="35" spans="1:8" x14ac:dyDescent="0.35">
      <c r="A35" t="s">
        <v>28</v>
      </c>
      <c r="B35">
        <v>677.13428571431211</v>
      </c>
      <c r="C35">
        <v>1078.225714285765</v>
      </c>
      <c r="D35">
        <v>622.69714285715247</v>
      </c>
      <c r="E35">
        <v>1077.3771428570831</v>
      </c>
      <c r="F35">
        <v>259.50857142854278</v>
      </c>
      <c r="G35">
        <v>0</v>
      </c>
      <c r="H35">
        <v>0</v>
      </c>
    </row>
    <row r="36" spans="1:8" x14ac:dyDescent="0.35">
      <c r="A36" t="s">
        <v>29</v>
      </c>
      <c r="B36">
        <v>0.1224489795918367</v>
      </c>
      <c r="C36">
        <v>4.5795918367346804</v>
      </c>
      <c r="D36">
        <v>4.7877551020408067</v>
      </c>
      <c r="E36">
        <v>0.8448979591836705</v>
      </c>
      <c r="F36">
        <v>0</v>
      </c>
      <c r="G36">
        <v>0</v>
      </c>
      <c r="H36">
        <v>0</v>
      </c>
    </row>
    <row r="37" spans="1:8" x14ac:dyDescent="0.35">
      <c r="A37" s="4" t="s">
        <v>30</v>
      </c>
      <c r="B37" s="5">
        <v>6882.743265306096</v>
      </c>
      <c r="C37" s="5">
        <v>8853.1946938775</v>
      </c>
      <c r="D37" s="5">
        <v>10493.943673469381</v>
      </c>
      <c r="E37" s="5">
        <v>10174.349387755159</v>
      </c>
      <c r="F37" s="5">
        <v>11002.062857142881</v>
      </c>
      <c r="G37" s="5">
        <v>11262.857142857139</v>
      </c>
      <c r="H37" s="5">
        <v>11262.857142857139</v>
      </c>
    </row>
    <row r="39" spans="1:8" x14ac:dyDescent="0.35">
      <c r="A39" s="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6187</v>
      </c>
      <c r="C42">
        <v>7744</v>
      </c>
      <c r="D42">
        <v>8521</v>
      </c>
      <c r="E42">
        <v>8728</v>
      </c>
      <c r="F42">
        <v>8757</v>
      </c>
      <c r="G42">
        <v>8760</v>
      </c>
      <c r="H42">
        <v>8760</v>
      </c>
    </row>
    <row r="43" spans="1:8" x14ac:dyDescent="0.35">
      <c r="A43" t="s">
        <v>34</v>
      </c>
      <c r="B43">
        <v>2573</v>
      </c>
      <c r="C43">
        <v>1016</v>
      </c>
      <c r="D43">
        <v>239</v>
      </c>
      <c r="E43">
        <v>32</v>
      </c>
      <c r="F43">
        <v>3</v>
      </c>
      <c r="G43">
        <v>0</v>
      </c>
      <c r="H43">
        <v>0</v>
      </c>
    </row>
    <row r="44" spans="1:8" x14ac:dyDescent="0.35">
      <c r="A44" t="s">
        <v>35</v>
      </c>
      <c r="B44">
        <v>170412.25</v>
      </c>
      <c r="C44">
        <v>103072</v>
      </c>
      <c r="D44">
        <v>69466.75</v>
      </c>
      <c r="E44">
        <v>60514</v>
      </c>
      <c r="F44">
        <v>59259.75</v>
      </c>
      <c r="G44">
        <v>59130</v>
      </c>
      <c r="H44">
        <v>59130</v>
      </c>
    </row>
    <row r="45" spans="1:8" x14ac:dyDescent="0.35">
      <c r="A45" s="4" t="s">
        <v>36</v>
      </c>
      <c r="B45" s="5">
        <v>265266.66666666663</v>
      </c>
      <c r="C45" s="5">
        <v>186776.25</v>
      </c>
      <c r="D45" s="5">
        <v>147551.66666666669</v>
      </c>
      <c r="E45" s="5">
        <v>143206.66666666669</v>
      </c>
      <c r="F45" s="5">
        <v>142909.16666666669</v>
      </c>
      <c r="G45" s="5">
        <v>142866.66666666669</v>
      </c>
      <c r="H45" s="5">
        <v>142866.66666666669</v>
      </c>
    </row>
    <row r="46" spans="1:8" x14ac:dyDescent="0.35">
      <c r="A46" s="4" t="s">
        <v>37</v>
      </c>
      <c r="B46" s="5">
        <v>212912.25</v>
      </c>
      <c r="C46" s="5">
        <v>145572</v>
      </c>
      <c r="D46" s="5">
        <v>111966.75</v>
      </c>
      <c r="E46" s="5">
        <v>103014</v>
      </c>
      <c r="F46" s="5">
        <v>101759.75</v>
      </c>
      <c r="G46" s="5">
        <v>67796.666666666672</v>
      </c>
      <c r="H46" s="5">
        <v>67796.666666666672</v>
      </c>
    </row>
    <row r="47" spans="1:8" x14ac:dyDescent="0.35">
      <c r="A47" s="4" t="s">
        <v>38</v>
      </c>
      <c r="B47" s="5">
        <v>471833.33333333331</v>
      </c>
      <c r="C47" s="5">
        <v>471833.33333333331</v>
      </c>
      <c r="D47" s="5">
        <v>471833.33333333331</v>
      </c>
      <c r="E47" s="5">
        <v>471833.33333333331</v>
      </c>
      <c r="F47" s="5">
        <v>471833.33333333331</v>
      </c>
      <c r="G47" s="5">
        <v>471833.33333333331</v>
      </c>
      <c r="H47" s="5">
        <v>471833.33333333331</v>
      </c>
    </row>
    <row r="49" spans="1:8" x14ac:dyDescent="0.35">
      <c r="A49" s="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87433.333333333343</v>
      </c>
      <c r="C51">
        <v>101293.3333333333</v>
      </c>
      <c r="D51">
        <v>108208.3333333333</v>
      </c>
      <c r="E51">
        <v>108973.3333333333</v>
      </c>
      <c r="F51">
        <v>109025.8333333333</v>
      </c>
      <c r="G51">
        <v>109033.3333333333</v>
      </c>
      <c r="H51">
        <v>109033.3333333333</v>
      </c>
    </row>
    <row r="52" spans="1:8" x14ac:dyDescent="0.35">
      <c r="A52" t="s">
        <v>41</v>
      </c>
      <c r="B52">
        <v>52354.416666666628</v>
      </c>
      <c r="C52">
        <v>41204.25</v>
      </c>
      <c r="D52">
        <v>35584.916666666693</v>
      </c>
      <c r="E52">
        <v>40192.666666666693</v>
      </c>
      <c r="F52">
        <v>41149.416666666693</v>
      </c>
      <c r="G52">
        <v>75070.000000000015</v>
      </c>
      <c r="H52">
        <v>75070.000000000015</v>
      </c>
    </row>
    <row r="53" spans="1:8" x14ac:dyDescent="0.35">
      <c r="A53" t="s">
        <v>42</v>
      </c>
      <c r="B53">
        <v>-206566.6666666666</v>
      </c>
      <c r="C53">
        <v>-285057.08333333331</v>
      </c>
      <c r="D53">
        <v>-324281.66666666663</v>
      </c>
      <c r="E53">
        <v>-328626.66666666663</v>
      </c>
      <c r="F53">
        <v>-328924.16666666663</v>
      </c>
      <c r="G53">
        <v>-328966.66666666663</v>
      </c>
      <c r="H53">
        <v>-328966.66666666663</v>
      </c>
    </row>
    <row r="54" spans="1:8" x14ac:dyDescent="0.35">
      <c r="A54" t="s">
        <v>43</v>
      </c>
      <c r="B54">
        <v>11.565255731922401</v>
      </c>
      <c r="C54">
        <v>10.19457863660762</v>
      </c>
      <c r="D54">
        <v>9.7297152643973472</v>
      </c>
      <c r="E54">
        <v>9.6843049630983842</v>
      </c>
      <c r="F54">
        <v>9.6812273513380962</v>
      </c>
      <c r="G54">
        <v>9.6807880940301061</v>
      </c>
      <c r="H54">
        <v>9.6807880940301061</v>
      </c>
    </row>
    <row r="55" spans="1:8" x14ac:dyDescent="0.35">
      <c r="A55" s="12" t="s">
        <v>44</v>
      </c>
      <c r="B55" s="5">
        <v>12.70326815385652</v>
      </c>
      <c r="C55" s="5">
        <v>11.441444228418881</v>
      </c>
      <c r="D55" s="5">
        <v>10.311503158426889</v>
      </c>
      <c r="E55" s="5">
        <v>10.710594769281551</v>
      </c>
      <c r="F55" s="5">
        <v>9.9095810257573955</v>
      </c>
      <c r="G55" s="5">
        <v>9.6807880940301061</v>
      </c>
      <c r="H55" s="5">
        <v>9.6807880940301061</v>
      </c>
    </row>
    <row r="56" spans="1:8" x14ac:dyDescent="0.35">
      <c r="A56" s="12" t="s">
        <v>45</v>
      </c>
      <c r="B56" s="5">
        <v>7.6066205942287572</v>
      </c>
      <c r="C56" s="5">
        <v>4.6541673853050067</v>
      </c>
      <c r="D56" s="5">
        <v>3.3909955850660709</v>
      </c>
      <c r="E56" s="5">
        <v>3.950391827023219</v>
      </c>
      <c r="F56" s="5">
        <v>3.740154660173677</v>
      </c>
      <c r="G56" s="5">
        <v>6.665271435819383</v>
      </c>
      <c r="H56" s="5">
        <v>6.665271435819383</v>
      </c>
    </row>
    <row r="57" spans="1:8" x14ac:dyDescent="0.35">
      <c r="A57" s="12" t="s">
        <v>46</v>
      </c>
      <c r="B57" s="5">
        <v>-30.012258005889748</v>
      </c>
      <c r="C57" s="5">
        <v>-32.19821693636387</v>
      </c>
      <c r="D57" s="5">
        <v>-30.901792191481871</v>
      </c>
      <c r="E57" s="5">
        <v>-32.299526401380433</v>
      </c>
      <c r="F57" s="5">
        <v>-29.896590388330551</v>
      </c>
      <c r="G57" s="5">
        <v>-29.20810079485878</v>
      </c>
      <c r="H57" s="5">
        <v>-29.20810079485878</v>
      </c>
    </row>
    <row r="59" spans="1:8" x14ac:dyDescent="0.35">
      <c r="A59" s="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1254000</v>
      </c>
      <c r="C61">
        <v>730730.5555555555</v>
      </c>
      <c r="D61">
        <v>469233.33333333337</v>
      </c>
      <c r="E61">
        <v>440266.66666666669</v>
      </c>
      <c r="F61">
        <v>438283.33333333331</v>
      </c>
      <c r="G61">
        <v>438000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1136081.666666667</v>
      </c>
      <c r="C63">
        <v>687146.66666666674</v>
      </c>
      <c r="D63">
        <v>463111.66666666669</v>
      </c>
      <c r="E63">
        <v>403426.66666666669</v>
      </c>
      <c r="F63">
        <v>395065</v>
      </c>
      <c r="G63">
        <v>394200</v>
      </c>
      <c r="H63">
        <v>394200</v>
      </c>
    </row>
    <row r="64" spans="1:8" x14ac:dyDescent="0.35">
      <c r="A64" s="4" t="s">
        <v>51</v>
      </c>
      <c r="B64" s="5">
        <v>1.143150684931507</v>
      </c>
      <c r="C64" s="5">
        <v>1.0834167300862509</v>
      </c>
      <c r="D64" s="5">
        <v>1.053565449010655</v>
      </c>
      <c r="E64" s="5">
        <v>1.050258751902587</v>
      </c>
      <c r="F64" s="5">
        <v>1.050032343987823</v>
      </c>
      <c r="G64" s="5">
        <v>1.05</v>
      </c>
      <c r="H64" s="5">
        <v>1.05</v>
      </c>
    </row>
    <row r="65" spans="1:8" x14ac:dyDescent="0.35">
      <c r="A65" s="4" t="s">
        <v>52</v>
      </c>
      <c r="B65" s="5">
        <v>1.333333333333333</v>
      </c>
      <c r="C65" s="5">
        <v>1.333333333333333</v>
      </c>
      <c r="D65" s="5">
        <v>1.333333333333333</v>
      </c>
      <c r="E65" s="5">
        <v>1.333333333333333</v>
      </c>
      <c r="F65" s="5">
        <v>1.333333333333333</v>
      </c>
      <c r="G65" s="5">
        <v>1.333333333333333</v>
      </c>
      <c r="H65" s="5">
        <v>1.333333333333333</v>
      </c>
    </row>
    <row r="66" spans="1:8" x14ac:dyDescent="0.35">
      <c r="A66" s="4" t="s">
        <v>53</v>
      </c>
      <c r="B66" s="5">
        <v>1.1296896879756471</v>
      </c>
      <c r="C66" s="5">
        <v>1.078441400304414</v>
      </c>
      <c r="D66" s="5">
        <v>1.052866628614916</v>
      </c>
      <c r="E66" s="5">
        <v>1.0460532724505329</v>
      </c>
      <c r="F66" s="5">
        <v>1.045098744292237</v>
      </c>
      <c r="G66" s="5">
        <v>1.0449999999999999</v>
      </c>
      <c r="H66" s="5">
        <v>1.0449999999999999</v>
      </c>
    </row>
    <row r="67" spans="1:8" x14ac:dyDescent="0.35">
      <c r="A67" s="4" t="s">
        <v>54</v>
      </c>
      <c r="B67" s="10">
        <v>-0.78570128599384648</v>
      </c>
      <c r="C67" s="10">
        <v>-1.0106386636846463</v>
      </c>
      <c r="D67">
        <v>-1.1979387755102033</v>
      </c>
      <c r="E67" s="10">
        <v>-1.1614554095610912</v>
      </c>
      <c r="F67">
        <v>-1.2559432485322921</v>
      </c>
      <c r="G67">
        <v>-1.2857142857142854</v>
      </c>
      <c r="H67">
        <v>-1.2857142857142854</v>
      </c>
    </row>
    <row r="68" spans="1:8" x14ac:dyDescent="0.35">
      <c r="A68" s="7" t="s">
        <v>55</v>
      </c>
      <c r="B68" s="9">
        <v>1.2999999999999999E-2</v>
      </c>
      <c r="C68" s="9">
        <v>1.2999999999999999E-2</v>
      </c>
      <c r="D68" s="9">
        <v>1.2999999999999999E-2</v>
      </c>
      <c r="E68" s="9">
        <v>1.2999999999999999E-2</v>
      </c>
      <c r="F68" s="9">
        <v>1.2999999999999999E-2</v>
      </c>
      <c r="G68" s="9">
        <v>1.2999999999999999E-2</v>
      </c>
      <c r="H68" s="9">
        <v>1.2999999999999999E-2</v>
      </c>
    </row>
    <row r="69" spans="1:8" x14ac:dyDescent="0.35">
      <c r="A69" s="7" t="s">
        <v>56</v>
      </c>
      <c r="B69" s="9">
        <v>0.5</v>
      </c>
      <c r="C69" s="9">
        <v>0.5</v>
      </c>
      <c r="D69" s="9">
        <v>0.5</v>
      </c>
      <c r="E69" s="9">
        <v>0.5</v>
      </c>
      <c r="F69" s="9">
        <v>0.5</v>
      </c>
      <c r="G69" s="9">
        <v>0.5</v>
      </c>
      <c r="H69" s="9">
        <v>0.5</v>
      </c>
    </row>
    <row r="70" spans="1:8" x14ac:dyDescent="0.35">
      <c r="A70" s="4" t="s">
        <v>57</v>
      </c>
      <c r="B70" s="6">
        <f t="shared" ref="B70:H70" si="0">(B61)*B69/1000</f>
        <v>627</v>
      </c>
      <c r="C70" s="6">
        <f t="shared" si="0"/>
        <v>365.36527777777775</v>
      </c>
      <c r="D70" s="6">
        <f t="shared" si="0"/>
        <v>234.61666666666667</v>
      </c>
      <c r="E70" s="6">
        <f t="shared" si="0"/>
        <v>220.13333333333335</v>
      </c>
      <c r="F70" s="6">
        <f t="shared" si="0"/>
        <v>219.14166666666665</v>
      </c>
      <c r="G70" s="6">
        <f t="shared" si="0"/>
        <v>219</v>
      </c>
      <c r="H70" s="6">
        <f t="shared" si="0"/>
        <v>219</v>
      </c>
    </row>
    <row r="71" spans="1:8" x14ac:dyDescent="0.35">
      <c r="A71" s="4" t="s">
        <v>58</v>
      </c>
      <c r="B71" s="6">
        <f t="shared" ref="B71:H71" si="1">(B61)*B68/1000</f>
        <v>16.302</v>
      </c>
      <c r="C71" s="6">
        <f t="shared" si="1"/>
        <v>9.4994972222222209</v>
      </c>
      <c r="D71" s="6">
        <f t="shared" si="1"/>
        <v>6.1000333333333341</v>
      </c>
      <c r="E71" s="6">
        <f t="shared" si="1"/>
        <v>5.723466666666666</v>
      </c>
      <c r="F71" s="6">
        <f t="shared" si="1"/>
        <v>5.6976833333333321</v>
      </c>
      <c r="G71" s="6">
        <f t="shared" si="1"/>
        <v>5.694</v>
      </c>
      <c r="H71" s="6">
        <f t="shared" si="1"/>
        <v>5.694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7588</v>
      </c>
      <c r="C75">
        <v>8637</v>
      </c>
      <c r="D75">
        <v>8759</v>
      </c>
      <c r="E75">
        <v>8760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140296.03013333335</v>
      </c>
      <c r="C76">
        <v>80556.109533333336</v>
      </c>
      <c r="D76">
        <v>73608.282733333326</v>
      </c>
      <c r="E76">
        <v>73551.333333333328</v>
      </c>
      <c r="F76">
        <v>73551.333333333328</v>
      </c>
      <c r="G76">
        <v>73551.333333333328</v>
      </c>
      <c r="H76">
        <v>73551.333333333328</v>
      </c>
    </row>
    <row r="77" spans="1:8" x14ac:dyDescent="0.35">
      <c r="A77" s="12" t="s">
        <v>45</v>
      </c>
      <c r="B77">
        <v>18.157096918502518</v>
      </c>
      <c r="C77">
        <v>11.99794471255942</v>
      </c>
      <c r="D77">
        <v>7.04629129278403</v>
      </c>
      <c r="E77">
        <v>6.8461707651954269</v>
      </c>
      <c r="F77">
        <v>6.3040753569503654</v>
      </c>
      <c r="G77">
        <v>6.1543294435988543</v>
      </c>
      <c r="H77">
        <v>6.1543294435988543</v>
      </c>
    </row>
    <row r="78" spans="1:8" x14ac:dyDescent="0.35">
      <c r="A78" t="s">
        <v>61</v>
      </c>
      <c r="B78">
        <v>466546.66666666669</v>
      </c>
      <c r="C78">
        <v>127370</v>
      </c>
      <c r="D78">
        <v>87923.333333333328</v>
      </c>
      <c r="E78">
        <v>87600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>
        <v>1.053258751902588</v>
      </c>
      <c r="C79">
        <v>1.014539954337899</v>
      </c>
      <c r="D79">
        <v>1.010036910197869</v>
      </c>
      <c r="E79">
        <v>1.01</v>
      </c>
      <c r="F79">
        <v>1.01</v>
      </c>
      <c r="G79">
        <v>1.01</v>
      </c>
      <c r="H79">
        <v>1.01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44D8-06BB-4110-8478-C59EFF62AC1C}">
  <dimension ref="A1:H79"/>
  <sheetViews>
    <sheetView workbookViewId="0">
      <selection activeCell="F90" sqref="F90"/>
    </sheetView>
  </sheetViews>
  <sheetFormatPr defaultRowHeight="14.5" x14ac:dyDescent="0.35"/>
  <cols>
    <col min="1" max="1" width="74.4531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12" t="s">
        <v>5</v>
      </c>
      <c r="B8" s="10">
        <v>30</v>
      </c>
      <c r="C8" s="10">
        <v>35</v>
      </c>
      <c r="D8" s="10">
        <v>40</v>
      </c>
      <c r="E8" s="10">
        <v>45</v>
      </c>
      <c r="F8" s="10">
        <v>50</v>
      </c>
      <c r="G8" s="10">
        <v>55</v>
      </c>
      <c r="H8" s="10">
        <v>60</v>
      </c>
    </row>
    <row r="9" spans="1:8" x14ac:dyDescent="0.35">
      <c r="A9" s="12" t="s">
        <v>6</v>
      </c>
      <c r="B9" s="10">
        <v>18</v>
      </c>
      <c r="C9" s="10">
        <v>23</v>
      </c>
      <c r="D9" s="10">
        <v>28</v>
      </c>
      <c r="E9" s="10">
        <v>33</v>
      </c>
      <c r="F9" s="10">
        <v>38</v>
      </c>
      <c r="G9" s="10">
        <v>43</v>
      </c>
      <c r="H9" s="10">
        <v>48</v>
      </c>
    </row>
    <row r="10" spans="1:8" x14ac:dyDescent="0.35">
      <c r="A10" s="12" t="s">
        <v>7</v>
      </c>
      <c r="B10" s="10">
        <v>0.1</v>
      </c>
      <c r="C10" s="10">
        <v>0.1</v>
      </c>
      <c r="D10" s="10">
        <v>0.1</v>
      </c>
      <c r="E10" s="10">
        <v>0.1</v>
      </c>
      <c r="F10" s="10">
        <v>0.1</v>
      </c>
      <c r="G10" s="10">
        <v>0.1</v>
      </c>
      <c r="H10" s="10">
        <v>0.1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1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4.0935040000000003</v>
      </c>
      <c r="C19">
        <v>4.0935040000000003</v>
      </c>
      <c r="D19">
        <v>4.0935040000000003</v>
      </c>
      <c r="E19">
        <v>4.0935040000000003</v>
      </c>
      <c r="F19">
        <v>4.0935040000000003</v>
      </c>
      <c r="G19">
        <v>4.0935040000000003</v>
      </c>
      <c r="H19">
        <v>4.0935040000000003</v>
      </c>
    </row>
    <row r="20" spans="1:8" x14ac:dyDescent="0.35">
      <c r="A20" t="s">
        <v>15</v>
      </c>
      <c r="B20">
        <v>4.3435040000000003</v>
      </c>
      <c r="C20">
        <v>4.3435040000000003</v>
      </c>
      <c r="D20">
        <v>4.3435040000000003</v>
      </c>
      <c r="E20">
        <v>4.3435040000000003</v>
      </c>
      <c r="F20">
        <v>4.3435040000000003</v>
      </c>
      <c r="G20">
        <v>4.3435040000000003</v>
      </c>
      <c r="H20">
        <v>4.3435040000000003</v>
      </c>
    </row>
    <row r="21" spans="1:8" x14ac:dyDescent="0.35">
      <c r="A21" s="12" t="s">
        <v>16</v>
      </c>
      <c r="B21" s="10">
        <v>61.749476571428573</v>
      </c>
      <c r="C21" s="10">
        <v>2125.2111519999949</v>
      </c>
      <c r="D21" s="10">
        <v>13294.630352000569</v>
      </c>
      <c r="E21" s="10">
        <v>37168.626882285193</v>
      </c>
      <c r="F21" s="10">
        <v>39347.211572569373</v>
      </c>
      <c r="G21" s="10">
        <v>39606.963721140623</v>
      </c>
      <c r="H21" s="10">
        <v>39805.298468569054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2</v>
      </c>
      <c r="C25">
        <v>67</v>
      </c>
      <c r="D25">
        <v>767</v>
      </c>
      <c r="E25">
        <v>1098</v>
      </c>
      <c r="F25">
        <v>310</v>
      </c>
      <c r="G25">
        <v>0</v>
      </c>
      <c r="H25">
        <v>0</v>
      </c>
    </row>
    <row r="26" spans="1:8" x14ac:dyDescent="0.35">
      <c r="A26" t="s">
        <v>21</v>
      </c>
      <c r="B26">
        <v>1</v>
      </c>
      <c r="C26">
        <v>39</v>
      </c>
      <c r="D26">
        <v>419</v>
      </c>
      <c r="E26">
        <v>630</v>
      </c>
      <c r="F26">
        <v>96</v>
      </c>
      <c r="G26">
        <v>0</v>
      </c>
      <c r="H26">
        <v>0</v>
      </c>
    </row>
    <row r="27" spans="1:8" x14ac:dyDescent="0.35">
      <c r="A27" s="12" t="s">
        <v>22</v>
      </c>
      <c r="B27" s="10">
        <v>8747</v>
      </c>
      <c r="C27" s="10">
        <v>8326</v>
      </c>
      <c r="D27" s="10">
        <v>5933</v>
      </c>
      <c r="E27" s="10">
        <v>245</v>
      </c>
      <c r="F27" s="10">
        <v>0</v>
      </c>
      <c r="G27" s="10">
        <v>0</v>
      </c>
      <c r="H27" s="10">
        <v>0</v>
      </c>
    </row>
    <row r="28" spans="1:8" x14ac:dyDescent="0.35">
      <c r="A28" t="s">
        <v>23</v>
      </c>
      <c r="B28">
        <v>1</v>
      </c>
      <c r="C28">
        <v>21</v>
      </c>
      <c r="D28">
        <v>114</v>
      </c>
      <c r="E28">
        <v>348</v>
      </c>
      <c r="F28">
        <v>99</v>
      </c>
      <c r="G28">
        <v>44</v>
      </c>
      <c r="H28">
        <v>0</v>
      </c>
    </row>
    <row r="29" spans="1:8" x14ac:dyDescent="0.35">
      <c r="A29" s="12" t="s">
        <v>24</v>
      </c>
      <c r="B29" s="10">
        <v>8748</v>
      </c>
      <c r="C29" s="10">
        <v>8347</v>
      </c>
      <c r="D29" s="10">
        <v>6047</v>
      </c>
      <c r="E29" s="10">
        <v>593</v>
      </c>
      <c r="F29" s="10">
        <v>99</v>
      </c>
      <c r="G29" s="10">
        <v>44</v>
      </c>
      <c r="H29" s="10">
        <v>0</v>
      </c>
    </row>
    <row r="30" spans="1:8" x14ac:dyDescent="0.35">
      <c r="A30" s="12" t="s">
        <v>25</v>
      </c>
      <c r="B30" s="10">
        <v>0.12557077625570781</v>
      </c>
      <c r="C30" s="10">
        <v>4.269406392694064</v>
      </c>
      <c r="D30" s="10">
        <v>26.18721461187214</v>
      </c>
      <c r="E30" s="10">
        <v>86.038812785388131</v>
      </c>
      <c r="F30" s="10">
        <v>97.773972602739718</v>
      </c>
      <c r="G30" s="10">
        <v>99.497716894977174</v>
      </c>
      <c r="H30" s="10">
        <v>100</v>
      </c>
    </row>
    <row r="32" spans="1:8" x14ac:dyDescent="0.35">
      <c r="A32" s="1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15.428571428571431</v>
      </c>
      <c r="C34">
        <v>530.99999999999989</v>
      </c>
      <c r="D34">
        <v>3488.1428571428569</v>
      </c>
      <c r="E34">
        <v>10500.428571428571</v>
      </c>
      <c r="F34">
        <v>11135.571428571429</v>
      </c>
      <c r="G34">
        <v>11206.28571428571</v>
      </c>
      <c r="H34">
        <v>11262.857142857139</v>
      </c>
    </row>
    <row r="35" spans="1:8" x14ac:dyDescent="0.35">
      <c r="A35" t="s">
        <v>28</v>
      </c>
      <c r="B35">
        <v>13.44857142857143</v>
      </c>
      <c r="C35">
        <v>313.48285714285731</v>
      </c>
      <c r="D35">
        <v>2089.902857142828</v>
      </c>
      <c r="E35">
        <v>4862.6485714284936</v>
      </c>
      <c r="F35">
        <v>2268.0257142857731</v>
      </c>
      <c r="G35">
        <v>967.08857142864338</v>
      </c>
      <c r="H35">
        <v>775.44000000005758</v>
      </c>
    </row>
    <row r="36" spans="1:8" x14ac:dyDescent="0.35">
      <c r="A36" t="s">
        <v>29</v>
      </c>
      <c r="B36">
        <v>0.51428571428571279</v>
      </c>
      <c r="C36">
        <v>14.142857142857091</v>
      </c>
      <c r="D36">
        <v>171.55102040816379</v>
      </c>
      <c r="E36">
        <v>240.75918367347569</v>
      </c>
      <c r="F36">
        <v>62.057142857142317</v>
      </c>
      <c r="G36">
        <v>0</v>
      </c>
      <c r="H36">
        <v>0</v>
      </c>
    </row>
    <row r="37" spans="1:8" x14ac:dyDescent="0.35">
      <c r="A37" s="12" t="s">
        <v>30</v>
      </c>
      <c r="B37" s="10">
        <v>1.4657142857142851</v>
      </c>
      <c r="C37" s="10">
        <v>203.37428571428569</v>
      </c>
      <c r="D37" s="10">
        <v>1226.6889795918639</v>
      </c>
      <c r="E37" s="10">
        <v>5397.0208163266007</v>
      </c>
      <c r="F37" s="10">
        <v>8805.4885714285119</v>
      </c>
      <c r="G37" s="10">
        <v>10239.197142857071</v>
      </c>
      <c r="H37" s="10">
        <v>10487.417142857081</v>
      </c>
    </row>
    <row r="39" spans="1:8" x14ac:dyDescent="0.35">
      <c r="A39" s="1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13</v>
      </c>
      <c r="C42">
        <v>359</v>
      </c>
      <c r="D42">
        <v>1824</v>
      </c>
      <c r="E42">
        <v>5595</v>
      </c>
      <c r="F42">
        <v>7829</v>
      </c>
      <c r="G42">
        <v>8574</v>
      </c>
      <c r="H42">
        <v>8760</v>
      </c>
    </row>
    <row r="43" spans="1:8" x14ac:dyDescent="0.35">
      <c r="A43" t="s">
        <v>34</v>
      </c>
      <c r="B43">
        <v>8747</v>
      </c>
      <c r="C43">
        <v>8401</v>
      </c>
      <c r="D43">
        <v>6936</v>
      </c>
      <c r="E43">
        <v>3165</v>
      </c>
      <c r="F43">
        <v>931</v>
      </c>
      <c r="G43">
        <v>186</v>
      </c>
      <c r="H43">
        <v>0</v>
      </c>
    </row>
    <row r="44" spans="1:8" x14ac:dyDescent="0.35">
      <c r="A44" t="s">
        <v>35</v>
      </c>
      <c r="B44">
        <v>291625.16666668007</v>
      </c>
      <c r="C44">
        <v>281648.83333335281</v>
      </c>
      <c r="D44">
        <v>239408.00000002261</v>
      </c>
      <c r="E44">
        <v>130677.49999999499</v>
      </c>
      <c r="F44">
        <v>66263.833333333663</v>
      </c>
      <c r="G44">
        <v>44782.99999999992</v>
      </c>
      <c r="H44">
        <v>39420</v>
      </c>
    </row>
    <row r="45" spans="1:8" x14ac:dyDescent="0.35">
      <c r="A45" s="12" t="s">
        <v>36</v>
      </c>
      <c r="B45" s="10">
        <v>368832.63888888888</v>
      </c>
      <c r="C45" s="10">
        <v>357825.41666666669</v>
      </c>
      <c r="D45" s="10">
        <v>296172.36111111112</v>
      </c>
      <c r="E45" s="10">
        <v>143434.16666666669</v>
      </c>
      <c r="F45" s="10">
        <v>124253.05555555561</v>
      </c>
      <c r="G45" s="10">
        <v>122213.3333333333</v>
      </c>
      <c r="H45" s="10">
        <v>120966.6666666667</v>
      </c>
    </row>
    <row r="46" spans="1:8" x14ac:dyDescent="0.35">
      <c r="A46" s="12" t="s">
        <v>37</v>
      </c>
      <c r="B46" s="10">
        <v>334125.16666668007</v>
      </c>
      <c r="C46" s="10">
        <v>324148.83333335281</v>
      </c>
      <c r="D46" s="10">
        <v>281908.00000002258</v>
      </c>
      <c r="E46" s="10">
        <v>173177.49999999491</v>
      </c>
      <c r="F46" s="10">
        <v>108763.83333333371</v>
      </c>
      <c r="G46" s="10">
        <v>87282.999999999913</v>
      </c>
      <c r="H46" s="10">
        <v>48086.666666666672</v>
      </c>
    </row>
    <row r="47" spans="1:8" x14ac:dyDescent="0.35">
      <c r="A47" s="12" t="s">
        <v>38</v>
      </c>
      <c r="B47" s="10">
        <v>325833.33333333331</v>
      </c>
      <c r="C47" s="10">
        <v>325833.33333333331</v>
      </c>
      <c r="D47" s="10">
        <v>325833.33333333331</v>
      </c>
      <c r="E47" s="10">
        <v>325833.33333333331</v>
      </c>
      <c r="F47" s="10">
        <v>325833.33333333331</v>
      </c>
      <c r="G47" s="10">
        <v>325833.33333333331</v>
      </c>
      <c r="H47" s="10">
        <v>325833.33333333331</v>
      </c>
    </row>
    <row r="49" spans="1:8" x14ac:dyDescent="0.35">
      <c r="A49" s="1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43393.333333333343</v>
      </c>
      <c r="C51">
        <v>45398.333333333343</v>
      </c>
      <c r="D51">
        <v>56898.333333333343</v>
      </c>
      <c r="E51">
        <v>84168.333333333343</v>
      </c>
      <c r="F51">
        <v>86638.333333333343</v>
      </c>
      <c r="G51">
        <v>86913.333333333343</v>
      </c>
      <c r="H51">
        <v>87133.333333333343</v>
      </c>
    </row>
    <row r="52" spans="1:8" x14ac:dyDescent="0.35">
      <c r="A52" t="s">
        <v>41</v>
      </c>
      <c r="B52">
        <v>34707.472222208802</v>
      </c>
      <c r="C52">
        <v>33676.583333313931</v>
      </c>
      <c r="D52">
        <v>14264.361111088539</v>
      </c>
      <c r="E52">
        <v>-29743.33333332825</v>
      </c>
      <c r="F52">
        <v>15489.222222221901</v>
      </c>
      <c r="G52">
        <v>34930.33333333343</v>
      </c>
      <c r="H52">
        <v>72880</v>
      </c>
    </row>
    <row r="53" spans="1:8" x14ac:dyDescent="0.35">
      <c r="A53" t="s">
        <v>42</v>
      </c>
      <c r="B53">
        <v>42999.305555555562</v>
      </c>
      <c r="C53">
        <v>31992.083333333369</v>
      </c>
      <c r="D53">
        <v>-29660.97222222219</v>
      </c>
      <c r="E53">
        <v>-182399.1666666666</v>
      </c>
      <c r="F53">
        <v>-201580.27777777781</v>
      </c>
      <c r="G53">
        <v>-203620</v>
      </c>
      <c r="H53">
        <v>-204866.6666666666</v>
      </c>
    </row>
    <row r="54" spans="1:8" x14ac:dyDescent="0.35">
      <c r="A54" t="s">
        <v>43</v>
      </c>
      <c r="B54">
        <v>2812.5308641975312</v>
      </c>
      <c r="C54">
        <v>85.495919648462021</v>
      </c>
      <c r="D54">
        <v>16.311927482218671</v>
      </c>
      <c r="E54">
        <v>8.0157045744164659</v>
      </c>
      <c r="F54">
        <v>7.7803221764658108</v>
      </c>
      <c r="G54">
        <v>7.7557663216222199</v>
      </c>
      <c r="H54">
        <v>7.7363436495856606</v>
      </c>
    </row>
    <row r="55" spans="1:8" x14ac:dyDescent="0.35">
      <c r="A55" s="12" t="s">
        <v>44</v>
      </c>
      <c r="B55" s="10">
        <v>29605.588044184558</v>
      </c>
      <c r="C55" s="10">
        <v>223.22553303081821</v>
      </c>
      <c r="D55" s="10">
        <v>46.383667156008983</v>
      </c>
      <c r="E55" s="10">
        <v>15.595332350528381</v>
      </c>
      <c r="F55" s="10">
        <v>9.8391284743077048</v>
      </c>
      <c r="G55" s="10">
        <v>8.4882957248229811</v>
      </c>
      <c r="H55" s="10">
        <v>8.3083691767404648</v>
      </c>
    </row>
    <row r="56" spans="1:8" x14ac:dyDescent="0.35">
      <c r="A56" s="12" t="s">
        <v>45</v>
      </c>
      <c r="B56" s="10">
        <v>23679.56194497678</v>
      </c>
      <c r="C56" s="10">
        <v>165.58919046739831</v>
      </c>
      <c r="D56" s="10">
        <v>11.62834373537331</v>
      </c>
      <c r="E56" s="10">
        <v>-5.5110651497491521</v>
      </c>
      <c r="F56" s="10">
        <v>1.759041772251041</v>
      </c>
      <c r="G56" s="10">
        <v>3.411432834624252</v>
      </c>
      <c r="H56" s="10">
        <v>6.9492801713945491</v>
      </c>
    </row>
    <row r="57" spans="1:8" x14ac:dyDescent="0.35">
      <c r="A57" s="12" t="s">
        <v>46</v>
      </c>
      <c r="B57" s="10">
        <v>29336.758176304989</v>
      </c>
      <c r="C57" s="10">
        <v>157.3064324281294</v>
      </c>
      <c r="D57" s="10">
        <v>-24.17970057258588</v>
      </c>
      <c r="E57" s="10">
        <v>-33.796268881322163</v>
      </c>
      <c r="F57" s="10">
        <v>-22.892571620824381</v>
      </c>
      <c r="G57" s="10">
        <v>-19.886324792764309</v>
      </c>
      <c r="H57" s="10">
        <v>-19.534520642787641</v>
      </c>
    </row>
    <row r="59" spans="1:8" x14ac:dyDescent="0.35">
      <c r="A59" s="1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2916659.722222222</v>
      </c>
      <c r="C61">
        <v>2806587.5</v>
      </c>
      <c r="D61">
        <v>2190056.944444444</v>
      </c>
      <c r="E61">
        <v>662675.00000000023</v>
      </c>
      <c r="F61">
        <v>470863.88888888888</v>
      </c>
      <c r="G61">
        <v>450466.66666666669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2916251.666666667</v>
      </c>
      <c r="C63">
        <v>2816488.333333333</v>
      </c>
      <c r="D63">
        <v>2394080</v>
      </c>
      <c r="E63">
        <v>1306775</v>
      </c>
      <c r="F63">
        <v>662638.33333333326</v>
      </c>
      <c r="G63">
        <v>447830</v>
      </c>
      <c r="H63">
        <v>394200</v>
      </c>
    </row>
    <row r="64" spans="1:8" x14ac:dyDescent="0.35">
      <c r="A64" s="12" t="s">
        <v>51</v>
      </c>
      <c r="B64" s="10">
        <v>1.332952023084728</v>
      </c>
      <c r="C64" s="10">
        <v>1.320386700913242</v>
      </c>
      <c r="D64" s="10">
        <v>1.2500065005073571</v>
      </c>
      <c r="E64" s="10">
        <v>1.075647831050228</v>
      </c>
      <c r="F64" s="10">
        <v>1.0537515854895989</v>
      </c>
      <c r="G64" s="10">
        <v>1.0514231354642309</v>
      </c>
      <c r="H64" s="10">
        <v>1.05</v>
      </c>
    </row>
    <row r="65" spans="1:8" x14ac:dyDescent="0.35">
      <c r="A65" s="12" t="s">
        <v>52</v>
      </c>
      <c r="B65" s="10">
        <v>1.333333333333333</v>
      </c>
      <c r="C65" s="10">
        <v>1.333333333333333</v>
      </c>
      <c r="D65" s="10">
        <v>1.333333333333333</v>
      </c>
      <c r="E65" s="10">
        <v>1.333333333333333</v>
      </c>
      <c r="F65" s="10">
        <v>1.333333333333333</v>
      </c>
      <c r="G65" s="10">
        <v>1.333333333333333</v>
      </c>
      <c r="H65" s="10">
        <v>1.333333333333333</v>
      </c>
    </row>
    <row r="66" spans="1:8" x14ac:dyDescent="0.35">
      <c r="A66" s="12" t="s">
        <v>53</v>
      </c>
      <c r="B66" s="10">
        <v>1.3329054414003041</v>
      </c>
      <c r="C66" s="10">
        <v>1.3215169330289189</v>
      </c>
      <c r="D66" s="10">
        <v>1.2732968036529679</v>
      </c>
      <c r="E66" s="10">
        <v>1.1491752283105019</v>
      </c>
      <c r="F66" s="10">
        <v>1.075643645357687</v>
      </c>
      <c r="G66" s="10">
        <v>1.051122146118721</v>
      </c>
      <c r="H66" s="10">
        <v>1.0449999999999999</v>
      </c>
    </row>
    <row r="67" spans="1:8" x14ac:dyDescent="0.35">
      <c r="A67" s="12" t="s">
        <v>54</v>
      </c>
      <c r="B67" s="6">
        <v>-1.6731898238747547E-4</v>
      </c>
      <c r="C67" s="6">
        <v>-2.3216242661448137E-2</v>
      </c>
      <c r="D67" s="6">
        <v>-0.14003298853788401</v>
      </c>
      <c r="E67" s="8">
        <v>-0.61609826670394985</v>
      </c>
      <c r="F67" s="8">
        <v>-1.0051927592954921</v>
      </c>
      <c r="G67" s="8">
        <v>-1.1688581213307156</v>
      </c>
      <c r="H67" s="10">
        <v>-1.1971937377690731</v>
      </c>
    </row>
    <row r="68" spans="1:8" x14ac:dyDescent="0.35">
      <c r="A68" s="7" t="s">
        <v>55</v>
      </c>
      <c r="B68">
        <v>0.73</v>
      </c>
      <c r="C68" s="10">
        <v>0.73</v>
      </c>
      <c r="D68" s="10">
        <v>0.73</v>
      </c>
      <c r="E68">
        <v>0.73</v>
      </c>
      <c r="F68" s="10">
        <v>0.73</v>
      </c>
      <c r="G68">
        <v>0.73</v>
      </c>
      <c r="H68">
        <v>0.73</v>
      </c>
    </row>
    <row r="69" spans="1:8" x14ac:dyDescent="0.35">
      <c r="A69" s="7" t="s">
        <v>56</v>
      </c>
      <c r="B69">
        <v>2.2999999999999998</v>
      </c>
      <c r="C69" s="10">
        <v>2.2999999999999998</v>
      </c>
      <c r="D69" s="10">
        <v>2.2999999999999998</v>
      </c>
      <c r="E69">
        <v>2.2999999999999998</v>
      </c>
      <c r="F69" s="10">
        <v>2.2999999999999998</v>
      </c>
      <c r="G69">
        <v>2.2999999999999998</v>
      </c>
      <c r="H69">
        <v>2.2999999999999998</v>
      </c>
    </row>
    <row r="70" spans="1:8" x14ac:dyDescent="0.35">
      <c r="A70" s="4" t="s">
        <v>57</v>
      </c>
      <c r="B70">
        <v>6708.3173611111097</v>
      </c>
      <c r="C70" s="10">
        <v>6455.151249999999</v>
      </c>
      <c r="D70" s="10">
        <v>5037.1309722222213</v>
      </c>
      <c r="E70">
        <v>1524.1525000000004</v>
      </c>
      <c r="F70" s="10">
        <v>1082.9869444444444</v>
      </c>
      <c r="G70">
        <v>1036.0733333333333</v>
      </c>
      <c r="H70">
        <v>1007.3999999999999</v>
      </c>
    </row>
    <row r="71" spans="1:8" x14ac:dyDescent="0.35">
      <c r="A71" s="4" t="s">
        <v>58</v>
      </c>
      <c r="B71">
        <v>2129.1615972222221</v>
      </c>
      <c r="C71" s="10">
        <v>2048.8088750000002</v>
      </c>
      <c r="D71" s="10">
        <v>1598.7415694444439</v>
      </c>
      <c r="E71">
        <v>483.75275000000016</v>
      </c>
      <c r="F71" s="10">
        <v>343.73063888888885</v>
      </c>
      <c r="G71">
        <v>328.84066666666666</v>
      </c>
      <c r="H71">
        <v>319.74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328</v>
      </c>
      <c r="C75">
        <v>2502</v>
      </c>
      <c r="D75">
        <v>8179</v>
      </c>
      <c r="E75">
        <v>8760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328881.18933333334</v>
      </c>
      <c r="C76">
        <v>262937.2473333333</v>
      </c>
      <c r="D76">
        <v>90736.806333333327</v>
      </c>
      <c r="E76">
        <v>73113.333333333328</v>
      </c>
      <c r="F76">
        <v>73113.333333333328</v>
      </c>
      <c r="G76">
        <v>73113.333333333328</v>
      </c>
      <c r="H76">
        <v>73113.333333333328</v>
      </c>
    </row>
    <row r="77" spans="1:8" x14ac:dyDescent="0.35">
      <c r="A77" s="12" t="s">
        <v>45</v>
      </c>
      <c r="B77">
        <v>27257.324258934379</v>
      </c>
      <c r="C77">
        <v>466.56915845286454</v>
      </c>
      <c r="D77">
        <v>167.47159075727402</v>
      </c>
      <c r="E77">
        <v>13.029564963681105</v>
      </c>
      <c r="F77">
        <v>5.8077097950704948</v>
      </c>
      <c r="G77">
        <v>4.7952978452924055</v>
      </c>
      <c r="H77">
        <v>4.5629283821574038</v>
      </c>
    </row>
    <row r="78" spans="1:8" x14ac:dyDescent="0.35">
      <c r="A78" t="s">
        <v>61</v>
      </c>
      <c r="B78">
        <v>2813946.666666667</v>
      </c>
      <c r="C78">
        <v>2111020</v>
      </c>
      <c r="D78">
        <v>275456.66666666663</v>
      </c>
      <c r="E78">
        <v>87600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 s="10">
        <v>1.3212267884322679</v>
      </c>
      <c r="C79" s="10">
        <v>1.2409840182648399</v>
      </c>
      <c r="D79" s="10">
        <v>1.0314448249619479</v>
      </c>
      <c r="E79" s="10">
        <v>1.01</v>
      </c>
      <c r="F79" s="10">
        <v>1.01</v>
      </c>
      <c r="G79" s="10">
        <v>1.01</v>
      </c>
      <c r="H79" s="10">
        <v>1.01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5B62-A16D-468B-8662-09AA88C14F38}">
  <dimension ref="A1:H79"/>
  <sheetViews>
    <sheetView topLeftCell="B59" workbookViewId="0">
      <selection activeCell="J75" sqref="J75:R82"/>
    </sheetView>
  </sheetViews>
  <sheetFormatPr defaultRowHeight="14.5" x14ac:dyDescent="0.35"/>
  <cols>
    <col min="1" max="1" width="74.4531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12" t="s">
        <v>5</v>
      </c>
      <c r="B8" s="10">
        <v>30</v>
      </c>
      <c r="C8" s="10">
        <v>35</v>
      </c>
      <c r="D8" s="10">
        <v>40</v>
      </c>
      <c r="E8" s="10">
        <v>45</v>
      </c>
      <c r="F8" s="10">
        <v>50</v>
      </c>
      <c r="G8" s="10">
        <v>55</v>
      </c>
      <c r="H8" s="10">
        <v>60</v>
      </c>
    </row>
    <row r="9" spans="1:8" x14ac:dyDescent="0.35">
      <c r="A9" s="12" t="s">
        <v>6</v>
      </c>
      <c r="B9" s="10">
        <v>18</v>
      </c>
      <c r="C9" s="10">
        <v>23</v>
      </c>
      <c r="D9" s="10">
        <v>28</v>
      </c>
      <c r="E9" s="10">
        <v>33</v>
      </c>
      <c r="F9" s="10">
        <v>38</v>
      </c>
      <c r="G9" s="10">
        <v>43</v>
      </c>
      <c r="H9" s="10">
        <v>48</v>
      </c>
    </row>
    <row r="10" spans="1:8" x14ac:dyDescent="0.35">
      <c r="A10" s="12" t="s">
        <v>7</v>
      </c>
      <c r="B10" s="10">
        <v>9.5000000000000001E-2</v>
      </c>
      <c r="C10" s="10">
        <v>9.5000000000000001E-2</v>
      </c>
      <c r="D10" s="10">
        <v>9.5000000000000001E-2</v>
      </c>
      <c r="E10" s="10">
        <v>9.5000000000000001E-2</v>
      </c>
      <c r="F10" s="10">
        <v>9.5000000000000001E-2</v>
      </c>
      <c r="G10" s="10">
        <v>9.5000000000000001E-2</v>
      </c>
      <c r="H10" s="10">
        <v>9.5000000000000001E-2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1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12" t="s">
        <v>16</v>
      </c>
      <c r="B21" s="10">
        <v>0</v>
      </c>
      <c r="C21" s="10">
        <v>1595.194811428566</v>
      </c>
      <c r="D21" s="10">
        <v>18509.49451428674</v>
      </c>
      <c r="E21" s="10">
        <v>38577.726207998363</v>
      </c>
      <c r="F21" s="10">
        <v>39387.304852569207</v>
      </c>
      <c r="G21" s="10">
        <v>39528.509897140531</v>
      </c>
      <c r="H21" s="10">
        <v>39528.509897140531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0</v>
      </c>
      <c r="C25">
        <v>121</v>
      </c>
      <c r="D25">
        <v>627</v>
      </c>
      <c r="E25">
        <v>260</v>
      </c>
      <c r="F25">
        <v>1</v>
      </c>
      <c r="G25">
        <v>0</v>
      </c>
      <c r="H25">
        <v>0</v>
      </c>
    </row>
    <row r="26" spans="1:8" x14ac:dyDescent="0.35">
      <c r="A26" t="s">
        <v>21</v>
      </c>
      <c r="B26">
        <v>0</v>
      </c>
      <c r="C26">
        <v>81</v>
      </c>
      <c r="D26">
        <v>322</v>
      </c>
      <c r="E26">
        <v>38</v>
      </c>
      <c r="F26">
        <v>0</v>
      </c>
      <c r="G26">
        <v>0</v>
      </c>
      <c r="H26">
        <v>0</v>
      </c>
    </row>
    <row r="27" spans="1:8" x14ac:dyDescent="0.35">
      <c r="A27" s="12" t="s">
        <v>22</v>
      </c>
      <c r="B27" s="10">
        <v>8760</v>
      </c>
      <c r="C27" s="10">
        <v>8435</v>
      </c>
      <c r="D27" s="10">
        <v>4629</v>
      </c>
      <c r="E27" s="10">
        <v>45</v>
      </c>
      <c r="F27" s="10">
        <v>2</v>
      </c>
      <c r="G27" s="10">
        <v>0</v>
      </c>
      <c r="H27" s="10">
        <v>0</v>
      </c>
    </row>
    <row r="28" spans="1:8" x14ac:dyDescent="0.35">
      <c r="A28" t="s">
        <v>23</v>
      </c>
      <c r="B28">
        <v>0</v>
      </c>
      <c r="C28">
        <v>15</v>
      </c>
      <c r="D28">
        <v>181</v>
      </c>
      <c r="E28">
        <v>163</v>
      </c>
      <c r="F28">
        <v>27</v>
      </c>
      <c r="G28">
        <v>0</v>
      </c>
      <c r="H28">
        <v>0</v>
      </c>
    </row>
    <row r="29" spans="1:8" x14ac:dyDescent="0.35">
      <c r="A29" s="12" t="s">
        <v>24</v>
      </c>
      <c r="B29" s="10">
        <v>8760</v>
      </c>
      <c r="C29" s="10">
        <v>8450</v>
      </c>
      <c r="D29" s="10">
        <v>4810</v>
      </c>
      <c r="E29" s="10">
        <v>208</v>
      </c>
      <c r="F29" s="10">
        <v>29</v>
      </c>
      <c r="G29" s="10">
        <v>0</v>
      </c>
      <c r="H29" s="10">
        <v>0</v>
      </c>
    </row>
    <row r="30" spans="1:8" x14ac:dyDescent="0.35">
      <c r="A30" s="12" t="s">
        <v>25</v>
      </c>
      <c r="B30" s="10">
        <v>0</v>
      </c>
      <c r="C30" s="10">
        <v>2.6141552511415531</v>
      </c>
      <c r="D30" s="10">
        <v>41.415525114155251</v>
      </c>
      <c r="E30" s="10">
        <v>97.191780821917803</v>
      </c>
      <c r="F30" s="10">
        <v>99.668949771689498</v>
      </c>
      <c r="G30" s="10">
        <v>100</v>
      </c>
      <c r="H30" s="10">
        <v>100</v>
      </c>
    </row>
    <row r="32" spans="1:8" x14ac:dyDescent="0.35">
      <c r="A32" s="1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0</v>
      </c>
      <c r="C34">
        <v>398.5714285714285</v>
      </c>
      <c r="D34">
        <v>5078.5714285714284</v>
      </c>
      <c r="E34">
        <v>10995.428571428571</v>
      </c>
      <c r="F34">
        <v>11225.571428571429</v>
      </c>
      <c r="G34">
        <v>11262.857142857139</v>
      </c>
      <c r="H34">
        <v>11262.857142857139</v>
      </c>
    </row>
    <row r="35" spans="1:8" x14ac:dyDescent="0.35">
      <c r="A35" t="s">
        <v>28</v>
      </c>
      <c r="B35">
        <v>0</v>
      </c>
      <c r="C35">
        <v>295.71428571428601</v>
      </c>
      <c r="D35">
        <v>2479.7828571428181</v>
      </c>
      <c r="E35">
        <v>2940.1199999998698</v>
      </c>
      <c r="F35">
        <v>1295.820000000145</v>
      </c>
      <c r="G35">
        <v>1176.788571428782</v>
      </c>
      <c r="H35">
        <v>0</v>
      </c>
    </row>
    <row r="36" spans="1:8" x14ac:dyDescent="0.35">
      <c r="A36" t="s">
        <v>29</v>
      </c>
      <c r="B36">
        <v>0</v>
      </c>
      <c r="C36">
        <v>28.50612244897961</v>
      </c>
      <c r="D36">
        <v>135.88163265305951</v>
      </c>
      <c r="E36">
        <v>46.224489795918203</v>
      </c>
      <c r="F36">
        <v>0.24489795918367349</v>
      </c>
      <c r="G36">
        <v>0</v>
      </c>
      <c r="H36">
        <v>0</v>
      </c>
    </row>
    <row r="37" spans="1:8" x14ac:dyDescent="0.35">
      <c r="A37" s="12" t="s">
        <v>30</v>
      </c>
      <c r="B37" s="10">
        <v>0</v>
      </c>
      <c r="C37" s="10">
        <v>74.351020408162938</v>
      </c>
      <c r="D37" s="10">
        <v>2462.9069387755512</v>
      </c>
      <c r="E37" s="10">
        <v>8009.0840816327818</v>
      </c>
      <c r="F37" s="10">
        <v>9929.5065306120978</v>
      </c>
      <c r="G37" s="10">
        <v>10086.068571428361</v>
      </c>
      <c r="H37" s="10">
        <v>11262.857142857139</v>
      </c>
    </row>
    <row r="39" spans="1:8" x14ac:dyDescent="0.35">
      <c r="A39" s="1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1</v>
      </c>
      <c r="C42">
        <v>427</v>
      </c>
      <c r="D42">
        <v>4232</v>
      </c>
      <c r="E42">
        <v>7534</v>
      </c>
      <c r="F42">
        <v>8641</v>
      </c>
      <c r="G42">
        <v>8760</v>
      </c>
      <c r="H42">
        <v>8760</v>
      </c>
    </row>
    <row r="43" spans="1:8" x14ac:dyDescent="0.35">
      <c r="A43" t="s">
        <v>34</v>
      </c>
      <c r="B43">
        <v>8759</v>
      </c>
      <c r="C43">
        <v>8333</v>
      </c>
      <c r="D43">
        <v>4528</v>
      </c>
      <c r="E43">
        <v>1226</v>
      </c>
      <c r="F43">
        <v>119</v>
      </c>
      <c r="G43">
        <v>0</v>
      </c>
      <c r="H43">
        <v>0</v>
      </c>
    </row>
    <row r="44" spans="1:8" x14ac:dyDescent="0.35">
      <c r="A44" t="s">
        <v>35</v>
      </c>
      <c r="B44">
        <v>277372.60833331052</v>
      </c>
      <c r="C44">
        <v>265703.75833330362</v>
      </c>
      <c r="D44">
        <v>161478.4666666488</v>
      </c>
      <c r="E44">
        <v>71031.18333333201</v>
      </c>
      <c r="F44">
        <v>40708.608333340548</v>
      </c>
      <c r="G44">
        <v>37449.000000006177</v>
      </c>
      <c r="H44">
        <v>37449.000000006177</v>
      </c>
    </row>
    <row r="45" spans="1:8" x14ac:dyDescent="0.35">
      <c r="A45" s="12" t="s">
        <v>36</v>
      </c>
      <c r="B45" s="10">
        <v>354566.66666666663</v>
      </c>
      <c r="C45" s="10">
        <v>346888.95138888882</v>
      </c>
      <c r="D45" s="10">
        <v>250784.97222222219</v>
      </c>
      <c r="E45" s="10">
        <v>124554.51388888891</v>
      </c>
      <c r="F45" s="10">
        <v>119557.25</v>
      </c>
      <c r="G45" s="10">
        <v>118776.6666666667</v>
      </c>
      <c r="H45" s="10">
        <v>118776.6666666667</v>
      </c>
    </row>
    <row r="46" spans="1:8" x14ac:dyDescent="0.35">
      <c r="A46" s="12" t="s">
        <v>37</v>
      </c>
      <c r="B46" s="10">
        <v>319872.60833331052</v>
      </c>
      <c r="C46" s="10">
        <v>308203.75833330362</v>
      </c>
      <c r="D46" s="10">
        <v>203978.4666666488</v>
      </c>
      <c r="E46" s="10">
        <v>113531.183333332</v>
      </c>
      <c r="F46" s="10">
        <v>83208.608333340555</v>
      </c>
      <c r="G46" s="10">
        <v>46115.666666672863</v>
      </c>
      <c r="H46" s="10">
        <v>46115.666666672863</v>
      </c>
    </row>
    <row r="47" spans="1:8" x14ac:dyDescent="0.35">
      <c r="A47" s="12" t="s">
        <v>38</v>
      </c>
      <c r="B47" s="10">
        <v>311233.33333333331</v>
      </c>
      <c r="C47" s="10">
        <v>311233.33333333331</v>
      </c>
      <c r="D47" s="10">
        <v>311233.33333333331</v>
      </c>
      <c r="E47" s="10">
        <v>311233.33333333331</v>
      </c>
      <c r="F47" s="10">
        <v>311233.33333333331</v>
      </c>
      <c r="G47" s="10">
        <v>311233.33333333331</v>
      </c>
      <c r="H47" s="10">
        <v>311233.33333333331</v>
      </c>
    </row>
    <row r="49" spans="1:8" x14ac:dyDescent="0.35">
      <c r="A49" s="1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43333.333333333343</v>
      </c>
      <c r="C51">
        <v>44805.833333333343</v>
      </c>
      <c r="D51">
        <v>62095.833333333343</v>
      </c>
      <c r="E51">
        <v>83955.333333333343</v>
      </c>
      <c r="F51">
        <v>84805.583333333343</v>
      </c>
      <c r="G51">
        <v>84943.333333333343</v>
      </c>
      <c r="H51">
        <v>84943.333333333343</v>
      </c>
    </row>
    <row r="52" spans="1:8" x14ac:dyDescent="0.35">
      <c r="A52" t="s">
        <v>41</v>
      </c>
      <c r="B52">
        <v>34694.058333356108</v>
      </c>
      <c r="C52">
        <v>38685.193055585201</v>
      </c>
      <c r="D52">
        <v>46806.505555573407</v>
      </c>
      <c r="E52">
        <v>11023.33055555689</v>
      </c>
      <c r="F52">
        <v>36348.641666659452</v>
      </c>
      <c r="G52">
        <v>72660.999999993815</v>
      </c>
      <c r="H52">
        <v>72660.999999993815</v>
      </c>
    </row>
    <row r="53" spans="1:8" x14ac:dyDescent="0.35">
      <c r="A53" t="s">
        <v>42</v>
      </c>
      <c r="B53">
        <v>43333.333333333307</v>
      </c>
      <c r="C53">
        <v>35655.618055555497</v>
      </c>
      <c r="D53">
        <v>-60448.361111111117</v>
      </c>
      <c r="E53">
        <v>-186678.81944444441</v>
      </c>
      <c r="F53">
        <v>-191676.08333333331</v>
      </c>
      <c r="G53">
        <v>-192456.6666666666</v>
      </c>
      <c r="H53">
        <v>-192456.6666666666</v>
      </c>
    </row>
    <row r="54" spans="1:8" x14ac:dyDescent="0.35">
      <c r="A54" t="s">
        <v>43</v>
      </c>
      <c r="B54">
        <v>0</v>
      </c>
      <c r="C54">
        <v>112.41606929510159</v>
      </c>
      <c r="D54">
        <v>12.227027660571959</v>
      </c>
      <c r="E54">
        <v>7.6354762152236439</v>
      </c>
      <c r="F54">
        <v>7.5546785188578811</v>
      </c>
      <c r="G54">
        <v>7.5418992051412159</v>
      </c>
      <c r="H54">
        <v>7.5418992051412159</v>
      </c>
    </row>
    <row r="55" spans="1:8" x14ac:dyDescent="0.35">
      <c r="A55" s="12" t="s">
        <v>44</v>
      </c>
      <c r="B55" s="10">
        <v>0</v>
      </c>
      <c r="C55" s="10">
        <v>602.62566791099664</v>
      </c>
      <c r="D55" s="10">
        <v>25.21241560357317</v>
      </c>
      <c r="E55" s="10">
        <v>10.48251366543497</v>
      </c>
      <c r="F55" s="10">
        <v>8.5407651499984016</v>
      </c>
      <c r="G55" s="10">
        <v>8.421847693357881</v>
      </c>
      <c r="H55" s="10">
        <v>7.5418992051412159</v>
      </c>
    </row>
    <row r="56" spans="1:8" x14ac:dyDescent="0.35">
      <c r="A56" s="12" t="s">
        <v>45</v>
      </c>
      <c r="B56" s="10">
        <v>0</v>
      </c>
      <c r="C56" s="10">
        <v>520.30480339363282</v>
      </c>
      <c r="D56" s="10">
        <v>19.00457740349847</v>
      </c>
      <c r="E56" s="10">
        <v>1.376353456050821</v>
      </c>
      <c r="F56" s="10">
        <v>3.660669495971292</v>
      </c>
      <c r="G56" s="10">
        <v>7.2040953802184768</v>
      </c>
      <c r="H56" s="10">
        <v>6.4513825469299437</v>
      </c>
    </row>
    <row r="57" spans="1:8" x14ac:dyDescent="0.35">
      <c r="A57" s="12" t="s">
        <v>46</v>
      </c>
      <c r="B57" s="10">
        <v>0</v>
      </c>
      <c r="C57" s="10">
        <v>479.55788447579801</v>
      </c>
      <c r="D57" s="10">
        <v>-24.543501891778089</v>
      </c>
      <c r="E57" s="10">
        <v>-23.308385520955461</v>
      </c>
      <c r="F57" s="10">
        <v>-19.30368671820769</v>
      </c>
      <c r="G57" s="10">
        <v>-19.081435477432159</v>
      </c>
      <c r="H57" s="10">
        <v>-17.087730424488409</v>
      </c>
    </row>
    <row r="59" spans="1:8" x14ac:dyDescent="0.35">
      <c r="A59" s="1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2920000</v>
      </c>
      <c r="C61">
        <v>2839181.944444444</v>
      </c>
      <c r="D61">
        <v>1827561.111111111</v>
      </c>
      <c r="E61">
        <v>498819.44444444438</v>
      </c>
      <c r="F61">
        <v>446216.66666666669</v>
      </c>
      <c r="G61">
        <v>438000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2919711.666666667</v>
      </c>
      <c r="C63">
        <v>2796881.666666667</v>
      </c>
      <c r="D63">
        <v>1699773.333333333</v>
      </c>
      <c r="E63">
        <v>747696.66666666674</v>
      </c>
      <c r="F63">
        <v>428511.66666666669</v>
      </c>
      <c r="G63">
        <v>394200</v>
      </c>
      <c r="H63">
        <v>394200</v>
      </c>
    </row>
    <row r="64" spans="1:8" x14ac:dyDescent="0.35">
      <c r="A64" s="12" t="s">
        <v>51</v>
      </c>
      <c r="B64" s="10">
        <v>1.333333333333333</v>
      </c>
      <c r="C64" s="10">
        <v>1.3241075279046171</v>
      </c>
      <c r="D64" s="10">
        <v>1.2086256976154239</v>
      </c>
      <c r="E64" s="10">
        <v>1.0569428589548451</v>
      </c>
      <c r="F64" s="10">
        <v>1.05093797564688</v>
      </c>
      <c r="G64" s="10">
        <v>1.05</v>
      </c>
      <c r="H64" s="10">
        <v>1.05</v>
      </c>
    </row>
    <row r="65" spans="1:8" x14ac:dyDescent="0.35">
      <c r="A65" s="12" t="s">
        <v>52</v>
      </c>
      <c r="B65" s="10">
        <v>1.333333333333333</v>
      </c>
      <c r="C65" s="10">
        <v>1.333333333333333</v>
      </c>
      <c r="D65" s="10">
        <v>1.333333333333333</v>
      </c>
      <c r="E65" s="10">
        <v>1.333333333333333</v>
      </c>
      <c r="F65" s="10">
        <v>1.333333333333333</v>
      </c>
      <c r="G65" s="10">
        <v>1.333333333333333</v>
      </c>
      <c r="H65" s="10">
        <v>1.333333333333333</v>
      </c>
    </row>
    <row r="66" spans="1:8" x14ac:dyDescent="0.35">
      <c r="A66" s="12" t="s">
        <v>53</v>
      </c>
      <c r="B66" s="10">
        <v>1.3333004185692541</v>
      </c>
      <c r="C66" s="10">
        <v>1.3192787290715371</v>
      </c>
      <c r="D66" s="10">
        <v>1.194038051750381</v>
      </c>
      <c r="E66" s="10">
        <v>1.0853535007610351</v>
      </c>
      <c r="F66" s="10">
        <v>1.048916856925419</v>
      </c>
      <c r="G66" s="10">
        <v>1.0449999999999999</v>
      </c>
      <c r="H66" s="10">
        <v>1.0449999999999999</v>
      </c>
    </row>
    <row r="67" spans="1:8" x14ac:dyDescent="0.35">
      <c r="A67" s="12" t="s">
        <v>54</v>
      </c>
      <c r="B67">
        <v>0</v>
      </c>
      <c r="C67">
        <v>-8.4875594073245374E-3</v>
      </c>
      <c r="D67" s="10">
        <v>-0.28115376013419535</v>
      </c>
      <c r="E67" s="10">
        <v>-0.91427900475260071</v>
      </c>
      <c r="F67">
        <v>-1.1335053117137099</v>
      </c>
      <c r="G67" s="10">
        <v>-1.1513776908023243</v>
      </c>
      <c r="H67">
        <v>-1.2857142857142854</v>
      </c>
    </row>
    <row r="68" spans="1:8" x14ac:dyDescent="0.35">
      <c r="A68" s="7" t="s">
        <v>55</v>
      </c>
      <c r="B68" s="10">
        <v>0.71</v>
      </c>
      <c r="C68" s="10">
        <v>0.71</v>
      </c>
      <c r="D68">
        <v>0.71</v>
      </c>
      <c r="E68" s="10">
        <v>0.71</v>
      </c>
      <c r="F68">
        <v>0.71</v>
      </c>
      <c r="G68">
        <v>0.71</v>
      </c>
      <c r="H68">
        <v>0.71</v>
      </c>
    </row>
    <row r="69" spans="1:8" x14ac:dyDescent="0.35">
      <c r="A69" s="7" t="s">
        <v>56</v>
      </c>
      <c r="B69" s="10">
        <v>2.2999999999999998</v>
      </c>
      <c r="C69" s="10">
        <v>2.2999999999999998</v>
      </c>
      <c r="D69">
        <v>2.2999999999999998</v>
      </c>
      <c r="E69" s="10">
        <v>2.2999999999999998</v>
      </c>
      <c r="F69">
        <v>2.2999999999999998</v>
      </c>
      <c r="G69">
        <v>2.2999999999999998</v>
      </c>
      <c r="H69">
        <v>2.2999999999999998</v>
      </c>
    </row>
    <row r="70" spans="1:8" x14ac:dyDescent="0.35">
      <c r="A70" s="4" t="s">
        <v>57</v>
      </c>
      <c r="B70" s="10">
        <v>6715.9999999999991</v>
      </c>
      <c r="C70" s="10">
        <v>6530.1184722222215</v>
      </c>
      <c r="D70">
        <v>4203.3905555555548</v>
      </c>
      <c r="E70" s="10">
        <v>1147.2847222222219</v>
      </c>
      <c r="F70">
        <v>1026.2983333333332</v>
      </c>
      <c r="G70">
        <v>1007.3999999999999</v>
      </c>
      <c r="H70">
        <v>1007.3999999999999</v>
      </c>
    </row>
    <row r="71" spans="1:8" x14ac:dyDescent="0.35">
      <c r="A71" s="4" t="s">
        <v>58</v>
      </c>
      <c r="B71" s="10">
        <v>2073.1999999999998</v>
      </c>
      <c r="C71" s="10">
        <v>2015.8191805555552</v>
      </c>
      <c r="D71">
        <v>1297.5683888888886</v>
      </c>
      <c r="E71" s="10">
        <v>354.16180555555553</v>
      </c>
      <c r="F71">
        <v>316.81383333333332</v>
      </c>
      <c r="G71">
        <v>310.98</v>
      </c>
      <c r="H71">
        <v>310.98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160</v>
      </c>
      <c r="C75">
        <v>3375</v>
      </c>
      <c r="D75">
        <v>8681</v>
      </c>
      <c r="E75">
        <v>8758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319555.9433333333</v>
      </c>
      <c r="C76">
        <v>225625.37808333331</v>
      </c>
      <c r="D76">
        <v>70603.424983333331</v>
      </c>
      <c r="E76">
        <v>68353.766033333333</v>
      </c>
      <c r="F76">
        <v>68295.333333333328</v>
      </c>
      <c r="G76">
        <v>68295.333333333328</v>
      </c>
      <c r="H76">
        <v>68295.333333333328</v>
      </c>
    </row>
    <row r="77" spans="1:8" x14ac:dyDescent="0.35">
      <c r="A77" s="12" t="s">
        <v>45</v>
      </c>
      <c r="E77">
        <v>7.0171254643762131</v>
      </c>
      <c r="F77">
        <v>5.1625845160209254</v>
      </c>
      <c r="G77">
        <v>5.0050555353486308</v>
      </c>
      <c r="H77">
        <v>4.4821072213766326</v>
      </c>
    </row>
    <row r="78" spans="1:8" x14ac:dyDescent="0.35">
      <c r="A78" t="s">
        <v>61</v>
      </c>
      <c r="B78">
        <v>2868266.666666667</v>
      </c>
      <c r="C78">
        <v>1828750</v>
      </c>
      <c r="D78">
        <v>113143.3333333333</v>
      </c>
      <c r="E78">
        <v>88246.666666666672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 s="10">
        <v>1.327427701674277</v>
      </c>
      <c r="C79" s="10">
        <v>1.2087614155251141</v>
      </c>
      <c r="D79" s="10">
        <v>1.012915905631659</v>
      </c>
      <c r="E79" s="10">
        <v>1.010073820395738</v>
      </c>
      <c r="F79" s="10">
        <v>1.01</v>
      </c>
      <c r="G79" s="10">
        <v>1.01</v>
      </c>
      <c r="H79" s="10">
        <v>1.01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C33B-8877-4836-8084-1E063388A53E}">
  <dimension ref="A1:H79"/>
  <sheetViews>
    <sheetView topLeftCell="B61" workbookViewId="0">
      <selection activeCell="J74" sqref="J74:Q80"/>
    </sheetView>
  </sheetViews>
  <sheetFormatPr defaultRowHeight="14.5" x14ac:dyDescent="0.35"/>
  <cols>
    <col min="1" max="1" width="74.4531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12" t="s">
        <v>5</v>
      </c>
      <c r="B8" s="10">
        <v>30</v>
      </c>
      <c r="C8" s="10">
        <v>35</v>
      </c>
      <c r="D8" s="10">
        <v>40</v>
      </c>
      <c r="E8" s="10">
        <v>45</v>
      </c>
      <c r="F8" s="10">
        <v>50</v>
      </c>
      <c r="G8" s="10">
        <v>55</v>
      </c>
      <c r="H8" s="10">
        <v>60</v>
      </c>
    </row>
    <row r="9" spans="1:8" x14ac:dyDescent="0.35">
      <c r="A9" s="12" t="s">
        <v>6</v>
      </c>
      <c r="B9" s="10">
        <v>18</v>
      </c>
      <c r="C9" s="10">
        <v>23</v>
      </c>
      <c r="D9" s="10">
        <v>28</v>
      </c>
      <c r="E9" s="10">
        <v>33</v>
      </c>
      <c r="F9" s="10">
        <v>38</v>
      </c>
      <c r="G9" s="10">
        <v>43</v>
      </c>
      <c r="H9" s="10">
        <v>48</v>
      </c>
    </row>
    <row r="10" spans="1:8" x14ac:dyDescent="0.35">
      <c r="A10" s="12" t="s">
        <v>7</v>
      </c>
      <c r="B10" s="10">
        <v>8.3000000000000004E-2</v>
      </c>
      <c r="C10" s="10">
        <v>8.3000000000000004E-2</v>
      </c>
      <c r="D10" s="10">
        <v>8.3000000000000004E-2</v>
      </c>
      <c r="E10" s="10">
        <v>8.3000000000000004E-2</v>
      </c>
      <c r="F10" s="10">
        <v>8.3000000000000004E-2</v>
      </c>
      <c r="G10" s="10">
        <v>8.3000000000000004E-2</v>
      </c>
      <c r="H10" s="10">
        <v>8.3000000000000004E-2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1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4.0935040000000003</v>
      </c>
      <c r="C19">
        <v>4.0935040000000003</v>
      </c>
      <c r="D19">
        <v>4.0935040000000003</v>
      </c>
      <c r="E19">
        <v>4.0935040000000003</v>
      </c>
      <c r="F19">
        <v>4.0935040000000003</v>
      </c>
      <c r="G19">
        <v>4.0935040000000003</v>
      </c>
      <c r="H19">
        <v>4.0935040000000003</v>
      </c>
    </row>
    <row r="20" spans="1:8" x14ac:dyDescent="0.35">
      <c r="A20" t="s">
        <v>15</v>
      </c>
      <c r="B20">
        <v>4.3435040000000003</v>
      </c>
      <c r="C20">
        <v>4.3435040000000003</v>
      </c>
      <c r="D20">
        <v>4.3435040000000003</v>
      </c>
      <c r="E20">
        <v>4.3435040000000003</v>
      </c>
      <c r="F20">
        <v>4.3435040000000003</v>
      </c>
      <c r="G20">
        <v>4.3435040000000003</v>
      </c>
      <c r="H20">
        <v>4.3435040000000003</v>
      </c>
    </row>
    <row r="21" spans="1:8" x14ac:dyDescent="0.35">
      <c r="A21" s="12" t="s">
        <v>16</v>
      </c>
      <c r="B21" s="10">
        <v>0</v>
      </c>
      <c r="C21" s="10">
        <v>380.78843885714338</v>
      </c>
      <c r="D21" s="10">
        <v>6051.9592320001129</v>
      </c>
      <c r="E21" s="10">
        <v>19699.054859429969</v>
      </c>
      <c r="F21" s="10">
        <v>38089.256854855797</v>
      </c>
      <c r="G21" s="10">
        <v>38445.424182855531</v>
      </c>
      <c r="H21" s="10">
        <v>38445.424182855531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0</v>
      </c>
      <c r="C25">
        <v>11</v>
      </c>
      <c r="D25">
        <v>135</v>
      </c>
      <c r="E25">
        <v>202</v>
      </c>
      <c r="F25">
        <v>2</v>
      </c>
      <c r="G25">
        <v>0</v>
      </c>
      <c r="H25">
        <v>0</v>
      </c>
    </row>
    <row r="26" spans="1:8" x14ac:dyDescent="0.35">
      <c r="A26" t="s">
        <v>21</v>
      </c>
      <c r="B26">
        <v>0</v>
      </c>
      <c r="C26">
        <v>3</v>
      </c>
      <c r="D26">
        <v>19</v>
      </c>
      <c r="E26">
        <v>20</v>
      </c>
      <c r="F26">
        <v>0</v>
      </c>
      <c r="G26">
        <v>0</v>
      </c>
      <c r="H26">
        <v>0</v>
      </c>
    </row>
    <row r="27" spans="1:8" x14ac:dyDescent="0.35">
      <c r="A27" s="12" t="s">
        <v>22</v>
      </c>
      <c r="B27" s="10">
        <v>8760</v>
      </c>
      <c r="C27" s="10">
        <v>8681</v>
      </c>
      <c r="D27" s="10">
        <v>7353</v>
      </c>
      <c r="E27" s="10">
        <v>4066</v>
      </c>
      <c r="F27" s="10">
        <v>17</v>
      </c>
      <c r="G27" s="10">
        <v>0</v>
      </c>
      <c r="H27" s="10">
        <v>0</v>
      </c>
    </row>
    <row r="28" spans="1:8" x14ac:dyDescent="0.35">
      <c r="A28" t="s">
        <v>23</v>
      </c>
      <c r="B28">
        <v>0</v>
      </c>
      <c r="C28">
        <v>5</v>
      </c>
      <c r="D28">
        <v>99</v>
      </c>
      <c r="E28">
        <v>247</v>
      </c>
      <c r="F28">
        <v>65</v>
      </c>
      <c r="G28">
        <v>0</v>
      </c>
      <c r="H28">
        <v>0</v>
      </c>
    </row>
    <row r="29" spans="1:8" x14ac:dyDescent="0.35">
      <c r="A29" s="12" t="s">
        <v>24</v>
      </c>
      <c r="B29" s="10">
        <v>8760</v>
      </c>
      <c r="C29" s="10">
        <v>8686</v>
      </c>
      <c r="D29" s="10">
        <v>7452</v>
      </c>
      <c r="E29" s="10">
        <v>4313</v>
      </c>
      <c r="F29" s="10">
        <v>82</v>
      </c>
      <c r="G29" s="10">
        <v>0</v>
      </c>
      <c r="H29" s="10">
        <v>0</v>
      </c>
    </row>
    <row r="30" spans="1:8" x14ac:dyDescent="0.35">
      <c r="A30" s="12" t="s">
        <v>25</v>
      </c>
      <c r="B30" s="10">
        <v>0</v>
      </c>
      <c r="C30" s="10">
        <v>0.81050228310502281</v>
      </c>
      <c r="D30" s="10">
        <v>14.71461187214612</v>
      </c>
      <c r="E30" s="10">
        <v>50.536529680365291</v>
      </c>
      <c r="F30" s="10">
        <v>99.063926940639263</v>
      </c>
      <c r="G30" s="10">
        <v>100</v>
      </c>
      <c r="H30" s="10">
        <v>100</v>
      </c>
    </row>
    <row r="32" spans="1:8" x14ac:dyDescent="0.35">
      <c r="A32" s="1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0</v>
      </c>
      <c r="C34">
        <v>95.142857142857139</v>
      </c>
      <c r="D34">
        <v>1681.714285714286</v>
      </c>
      <c r="E34">
        <v>5717.5714285714284</v>
      </c>
      <c r="F34">
        <v>11157.428571428571</v>
      </c>
      <c r="G34">
        <v>11262.857142857139</v>
      </c>
      <c r="H34">
        <v>11262.857142857139</v>
      </c>
    </row>
    <row r="35" spans="1:8" x14ac:dyDescent="0.35">
      <c r="A35" t="s">
        <v>28</v>
      </c>
      <c r="B35">
        <v>0</v>
      </c>
      <c r="C35">
        <v>62.640000000000029</v>
      </c>
      <c r="D35">
        <v>916.81714285715111</v>
      </c>
      <c r="E35">
        <v>2389.3457142857328</v>
      </c>
      <c r="F35">
        <v>1612.362857142936</v>
      </c>
      <c r="G35">
        <v>379.33714285713461</v>
      </c>
      <c r="H35">
        <v>0</v>
      </c>
    </row>
    <row r="36" spans="1:8" x14ac:dyDescent="0.35">
      <c r="A36" t="s">
        <v>29</v>
      </c>
      <c r="B36">
        <v>0</v>
      </c>
      <c r="C36">
        <v>2.008163265306119</v>
      </c>
      <c r="D36">
        <v>24.159183673469428</v>
      </c>
      <c r="E36">
        <v>27.832653061224349</v>
      </c>
      <c r="F36">
        <v>0.1714285714285721</v>
      </c>
      <c r="G36">
        <v>0</v>
      </c>
      <c r="H36">
        <v>0</v>
      </c>
    </row>
    <row r="37" spans="1:8" x14ac:dyDescent="0.35">
      <c r="A37" s="12" t="s">
        <v>30</v>
      </c>
      <c r="B37" s="10">
        <v>0</v>
      </c>
      <c r="C37" s="10">
        <v>30.49469387755099</v>
      </c>
      <c r="D37" s="10">
        <v>740.737959183665</v>
      </c>
      <c r="E37" s="10">
        <v>3300.3930612244699</v>
      </c>
      <c r="F37" s="10">
        <v>9544.8942857142065</v>
      </c>
      <c r="G37" s="10">
        <v>10883.52000000001</v>
      </c>
      <c r="H37" s="10">
        <v>11262.857142857139</v>
      </c>
    </row>
    <row r="39" spans="1:8" x14ac:dyDescent="0.35">
      <c r="A39" s="1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0</v>
      </c>
      <c r="C42">
        <v>92</v>
      </c>
      <c r="D42">
        <v>1130</v>
      </c>
      <c r="E42">
        <v>5183</v>
      </c>
      <c r="F42">
        <v>8560</v>
      </c>
      <c r="G42">
        <v>8760</v>
      </c>
      <c r="H42">
        <v>8760</v>
      </c>
    </row>
    <row r="43" spans="1:8" x14ac:dyDescent="0.35">
      <c r="A43" t="s">
        <v>34</v>
      </c>
      <c r="B43">
        <v>8760</v>
      </c>
      <c r="C43">
        <v>8668</v>
      </c>
      <c r="D43">
        <v>7630</v>
      </c>
      <c r="E43">
        <v>3577</v>
      </c>
      <c r="F43">
        <v>200</v>
      </c>
      <c r="G43">
        <v>0</v>
      </c>
      <c r="H43">
        <v>0</v>
      </c>
    </row>
    <row r="44" spans="1:8" x14ac:dyDescent="0.35">
      <c r="A44" t="s">
        <v>35</v>
      </c>
      <c r="B44">
        <v>242359.9999999702</v>
      </c>
      <c r="C44">
        <v>240158.2866666374</v>
      </c>
      <c r="D44">
        <v>215317.2166666413</v>
      </c>
      <c r="E44">
        <v>118322.171666674</v>
      </c>
      <c r="F44">
        <v>37504.933333337023</v>
      </c>
      <c r="G44">
        <v>32718.600000003509</v>
      </c>
      <c r="H44">
        <v>32718.600000003509</v>
      </c>
    </row>
    <row r="45" spans="1:8" x14ac:dyDescent="0.35">
      <c r="A45" s="12" t="s">
        <v>36</v>
      </c>
      <c r="B45" s="10">
        <v>319526.66666666663</v>
      </c>
      <c r="C45" s="10">
        <v>317796.46250000002</v>
      </c>
      <c r="D45" s="10">
        <v>288860.81805555552</v>
      </c>
      <c r="E45" s="10">
        <v>215035.43055555559</v>
      </c>
      <c r="F45" s="10">
        <v>115449.0333333333</v>
      </c>
      <c r="G45" s="10">
        <v>113520.6666666667</v>
      </c>
      <c r="H45" s="10">
        <v>113520.6666666667</v>
      </c>
    </row>
    <row r="46" spans="1:8" x14ac:dyDescent="0.35">
      <c r="A46" s="12" t="s">
        <v>37</v>
      </c>
      <c r="B46" s="10">
        <v>276193.33333330351</v>
      </c>
      <c r="C46" s="10">
        <v>282658.2866666374</v>
      </c>
      <c r="D46" s="10">
        <v>257817.2166666413</v>
      </c>
      <c r="E46" s="10">
        <v>160822.171666674</v>
      </c>
      <c r="F46" s="10">
        <v>80004.933333337016</v>
      </c>
      <c r="G46" s="10">
        <v>41385.266666670177</v>
      </c>
      <c r="H46" s="10">
        <v>41385.266666670177</v>
      </c>
    </row>
    <row r="47" spans="1:8" x14ac:dyDescent="0.35">
      <c r="A47" s="12" t="s">
        <v>38</v>
      </c>
      <c r="B47" s="10">
        <v>276193.33333333331</v>
      </c>
      <c r="C47" s="10">
        <v>276193.33333333331</v>
      </c>
      <c r="D47" s="10">
        <v>276193.33333333331</v>
      </c>
      <c r="E47" s="10">
        <v>276193.33333333331</v>
      </c>
      <c r="F47" s="10">
        <v>276193.33333333331</v>
      </c>
      <c r="G47" s="10">
        <v>276193.33333333331</v>
      </c>
      <c r="H47" s="10">
        <v>276193.33333333331</v>
      </c>
    </row>
    <row r="49" spans="1:8" x14ac:dyDescent="0.35">
      <c r="A49" s="1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43333.333333333343</v>
      </c>
      <c r="C51">
        <v>43640.433333333327</v>
      </c>
      <c r="D51">
        <v>48761.53333333334</v>
      </c>
      <c r="E51">
        <v>61788.383333333339</v>
      </c>
      <c r="F51">
        <v>79347.03333333334</v>
      </c>
      <c r="G51">
        <v>79687.333333333343</v>
      </c>
      <c r="H51">
        <v>79687.333333333343</v>
      </c>
    </row>
    <row r="52" spans="1:8" x14ac:dyDescent="0.35">
      <c r="A52" t="s">
        <v>41</v>
      </c>
      <c r="B52">
        <v>43333.333333363124</v>
      </c>
      <c r="C52">
        <v>35138.17583336262</v>
      </c>
      <c r="D52">
        <v>31043.60138891419</v>
      </c>
      <c r="E52">
        <v>54213.258888881537</v>
      </c>
      <c r="F52">
        <v>35444.099999996317</v>
      </c>
      <c r="G52">
        <v>72135.399999996502</v>
      </c>
      <c r="H52">
        <v>72135.399999996502</v>
      </c>
    </row>
    <row r="53" spans="1:8" x14ac:dyDescent="0.35">
      <c r="A53" t="s">
        <v>42</v>
      </c>
      <c r="B53">
        <v>43333.333333333307</v>
      </c>
      <c r="C53">
        <v>41603.129166666709</v>
      </c>
      <c r="D53">
        <v>12667.4847222222</v>
      </c>
      <c r="E53">
        <v>-61157.902777777752</v>
      </c>
      <c r="F53">
        <v>-160744.29999999999</v>
      </c>
      <c r="G53">
        <v>-162672.6666666666</v>
      </c>
      <c r="H53">
        <v>-162672.6666666666</v>
      </c>
    </row>
    <row r="54" spans="1:8" x14ac:dyDescent="0.35">
      <c r="A54" t="s">
        <v>43</v>
      </c>
      <c r="B54">
        <v>0</v>
      </c>
      <c r="C54">
        <v>458.68323323323318</v>
      </c>
      <c r="D54">
        <v>28.995135349416699</v>
      </c>
      <c r="E54">
        <v>10.8067532002432</v>
      </c>
      <c r="F54">
        <v>7.1115878381262121</v>
      </c>
      <c r="G54">
        <v>7.0752325384745491</v>
      </c>
      <c r="H54">
        <v>7.0752325384745491</v>
      </c>
    </row>
    <row r="55" spans="1:8" x14ac:dyDescent="0.35">
      <c r="A55" s="12" t="s">
        <v>44</v>
      </c>
      <c r="B55" s="10">
        <v>0</v>
      </c>
      <c r="C55" s="10">
        <v>1431.0828470214531</v>
      </c>
      <c r="D55" s="10">
        <v>65.828317192048999</v>
      </c>
      <c r="E55" s="10">
        <v>18.721522614766801</v>
      </c>
      <c r="F55" s="10">
        <v>8.3130342734221401</v>
      </c>
      <c r="G55" s="10">
        <v>7.3218346025305499</v>
      </c>
      <c r="H55" s="10">
        <v>7.0752325384745491</v>
      </c>
    </row>
    <row r="56" spans="1:8" x14ac:dyDescent="0.35">
      <c r="A56" s="12" t="s">
        <v>45</v>
      </c>
      <c r="B56" s="10">
        <v>0</v>
      </c>
      <c r="C56" s="10">
        <v>1152.271800938785</v>
      </c>
      <c r="D56" s="10">
        <v>41.909019247678337</v>
      </c>
      <c r="E56" s="10">
        <v>16.42630374115743</v>
      </c>
      <c r="F56" s="10">
        <v>3.7134093829666952</v>
      </c>
      <c r="G56" s="10">
        <v>6.6279475757839794</v>
      </c>
      <c r="H56" s="10">
        <v>6.4047158802635158</v>
      </c>
    </row>
    <row r="57" spans="1:8" x14ac:dyDescent="0.35">
      <c r="A57" s="12" t="s">
        <v>46</v>
      </c>
      <c r="B57" s="10">
        <v>0</v>
      </c>
      <c r="C57" s="10">
        <v>1364.274366344544</v>
      </c>
      <c r="D57" s="10">
        <v>17.10116859163325</v>
      </c>
      <c r="E57" s="10">
        <v>-18.530490654676061</v>
      </c>
      <c r="F57" s="10">
        <v>-16.840867503434289</v>
      </c>
      <c r="G57" s="10">
        <v>-14.946696166926371</v>
      </c>
      <c r="H57" s="10">
        <v>-14.443285980043971</v>
      </c>
    </row>
    <row r="59" spans="1:8" x14ac:dyDescent="0.35">
      <c r="A59" s="1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2920000</v>
      </c>
      <c r="C61">
        <v>2899154.166666667</v>
      </c>
      <c r="D61">
        <v>2550531.944444444</v>
      </c>
      <c r="E61">
        <v>1661069.444444444</v>
      </c>
      <c r="F61">
        <v>461233.33333333331</v>
      </c>
      <c r="G61">
        <v>438000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2920000</v>
      </c>
      <c r="C63">
        <v>2893473.333333333</v>
      </c>
      <c r="D63">
        <v>2594183.333333333</v>
      </c>
      <c r="E63">
        <v>1425568.333333333</v>
      </c>
      <c r="F63">
        <v>451866.66666666669</v>
      </c>
      <c r="G63">
        <v>394200</v>
      </c>
      <c r="H63">
        <v>394200</v>
      </c>
    </row>
    <row r="64" spans="1:8" x14ac:dyDescent="0.35">
      <c r="A64" s="12" t="s">
        <v>51</v>
      </c>
      <c r="B64" s="10">
        <v>1.333333333333333</v>
      </c>
      <c r="C64" s="10">
        <v>1.3309536719939119</v>
      </c>
      <c r="D64" s="10">
        <v>1.2911566146626079</v>
      </c>
      <c r="E64" s="10">
        <v>1.1896197995941149</v>
      </c>
      <c r="F64" s="10">
        <v>1.0526522070015221</v>
      </c>
      <c r="G64" s="10">
        <v>1.05</v>
      </c>
      <c r="H64" s="10">
        <v>1.05</v>
      </c>
    </row>
    <row r="65" spans="1:8" x14ac:dyDescent="0.35">
      <c r="A65" s="12" t="s">
        <v>52</v>
      </c>
      <c r="B65" s="10">
        <v>1.333333333333333</v>
      </c>
      <c r="C65" s="10">
        <v>1.333333333333333</v>
      </c>
      <c r="D65" s="10">
        <v>1.333333333333333</v>
      </c>
      <c r="E65" s="10">
        <v>1.333333333333333</v>
      </c>
      <c r="F65" s="10">
        <v>1.333333333333333</v>
      </c>
      <c r="G65" s="10">
        <v>1.333333333333333</v>
      </c>
      <c r="H65" s="10">
        <v>1.333333333333333</v>
      </c>
    </row>
    <row r="66" spans="1:8" x14ac:dyDescent="0.35">
      <c r="A66" s="12" t="s">
        <v>53</v>
      </c>
      <c r="B66" s="10">
        <v>1.333333333333333</v>
      </c>
      <c r="C66" s="10">
        <v>1.3303051750380519</v>
      </c>
      <c r="D66" s="10">
        <v>1.2961396499238971</v>
      </c>
      <c r="E66" s="10">
        <v>1.162736111111111</v>
      </c>
      <c r="F66" s="10">
        <v>1.0515829528158289</v>
      </c>
      <c r="G66" s="10">
        <v>1.0449999999999999</v>
      </c>
      <c r="H66" s="10">
        <v>1.0449999999999999</v>
      </c>
    </row>
    <row r="67" spans="1:8" x14ac:dyDescent="0.35">
      <c r="A67" s="12" t="s">
        <v>54</v>
      </c>
      <c r="B67">
        <v>0</v>
      </c>
      <c r="C67">
        <v>-3.481129438076597E-3</v>
      </c>
      <c r="D67" s="10">
        <v>-8.4559127760692354E-2</v>
      </c>
      <c r="E67" s="10">
        <v>-0.3767571987699167</v>
      </c>
      <c r="F67">
        <v>-1.0895998043052746</v>
      </c>
      <c r="G67" s="10">
        <v>-1.2424109589041106</v>
      </c>
      <c r="H67">
        <v>-1.2857142857142854</v>
      </c>
    </row>
    <row r="68" spans="1:8" x14ac:dyDescent="0.35">
      <c r="A68" s="7" t="s">
        <v>55</v>
      </c>
      <c r="B68">
        <v>0.73</v>
      </c>
      <c r="C68">
        <v>0.73</v>
      </c>
      <c r="D68" s="10">
        <v>0.73</v>
      </c>
      <c r="E68" s="10">
        <v>0.73</v>
      </c>
      <c r="F68">
        <v>0.73</v>
      </c>
      <c r="G68" s="10">
        <v>0.73</v>
      </c>
      <c r="H68">
        <v>0.73</v>
      </c>
    </row>
    <row r="69" spans="1:8" x14ac:dyDescent="0.35">
      <c r="A69" s="7" t="s">
        <v>56</v>
      </c>
      <c r="B69">
        <v>2.2999999999999998</v>
      </c>
      <c r="C69">
        <v>2.2999999999999998</v>
      </c>
      <c r="D69" s="10">
        <v>2.2999999999999998</v>
      </c>
      <c r="E69" s="10">
        <v>2.2999999999999998</v>
      </c>
      <c r="F69">
        <v>2.2999999999999998</v>
      </c>
      <c r="G69" s="10">
        <v>2.2999999999999998</v>
      </c>
      <c r="H69">
        <v>2.2999999999999998</v>
      </c>
    </row>
    <row r="70" spans="1:8" x14ac:dyDescent="0.35">
      <c r="A70" s="4" t="s">
        <v>57</v>
      </c>
      <c r="B70">
        <v>6715.9999999999991</v>
      </c>
      <c r="C70">
        <v>6668.0545833333335</v>
      </c>
      <c r="D70" s="10">
        <v>5866.2234722222211</v>
      </c>
      <c r="E70" s="10">
        <v>3820.459722222221</v>
      </c>
      <c r="F70">
        <v>1060.8366666666666</v>
      </c>
      <c r="G70" s="10">
        <v>1007.3999999999999</v>
      </c>
      <c r="H70">
        <v>1007.3999999999999</v>
      </c>
    </row>
    <row r="71" spans="1:8" x14ac:dyDescent="0.35">
      <c r="A71" s="4" t="s">
        <v>58</v>
      </c>
      <c r="B71">
        <v>2131.6</v>
      </c>
      <c r="C71">
        <v>2116.3825416666668</v>
      </c>
      <c r="D71" s="10">
        <v>1861.8883194444441</v>
      </c>
      <c r="E71" s="10">
        <v>1212.5806944444441</v>
      </c>
      <c r="F71">
        <v>336.70033333333333</v>
      </c>
      <c r="G71" s="10">
        <v>319.74</v>
      </c>
      <c r="H71">
        <v>319.74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160</v>
      </c>
      <c r="C75">
        <v>3375</v>
      </c>
      <c r="D75">
        <v>8681</v>
      </c>
      <c r="E75">
        <v>8758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289190.90973333333</v>
      </c>
      <c r="C76">
        <v>289190.90973333333</v>
      </c>
      <c r="D76">
        <v>287756.15828333335</v>
      </c>
      <c r="E76">
        <v>258591.57426333334</v>
      </c>
      <c r="F76">
        <v>178871.56642333334</v>
      </c>
      <c r="G76">
        <v>61248.03391333334</v>
      </c>
      <c r="H76">
        <v>60674.133333333331</v>
      </c>
    </row>
    <row r="77" spans="1:8" x14ac:dyDescent="0.35">
      <c r="A77" s="12" t="s">
        <v>45</v>
      </c>
      <c r="D77">
        <v>1.4912962924696886</v>
      </c>
      <c r="E77">
        <v>-13.197259508119952</v>
      </c>
      <c r="F77">
        <v>-6.6446553719221608</v>
      </c>
      <c r="G77">
        <v>4.8029160375809772</v>
      </c>
      <c r="H77">
        <v>4.6921072213766326</v>
      </c>
    </row>
    <row r="78" spans="1:8" x14ac:dyDescent="0.35">
      <c r="A78" t="s">
        <v>61</v>
      </c>
      <c r="B78">
        <v>2902216.666666667</v>
      </c>
      <c r="C78">
        <v>2540730</v>
      </c>
      <c r="D78">
        <v>1552623.333333333</v>
      </c>
      <c r="E78">
        <v>94713.333333333328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 s="10">
        <v>1.3313032724505329</v>
      </c>
      <c r="C79" s="10">
        <v>1.2900376712328769</v>
      </c>
      <c r="D79" s="10">
        <v>1.177240106544901</v>
      </c>
      <c r="E79" s="10">
        <v>1.01081202435312</v>
      </c>
      <c r="F79" s="10">
        <v>1.01</v>
      </c>
      <c r="G79" s="10">
        <v>1.01</v>
      </c>
      <c r="H79" s="10">
        <v>1.01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C363-BEF3-46CE-81A9-01ABB1A92BA5}">
  <dimension ref="A1:H79"/>
  <sheetViews>
    <sheetView topLeftCell="B65" workbookViewId="0">
      <selection activeCell="J75" sqref="J75:Q81"/>
    </sheetView>
  </sheetViews>
  <sheetFormatPr defaultRowHeight="14.5" x14ac:dyDescent="0.35"/>
  <cols>
    <col min="1" max="1" width="74.4531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12" t="s">
        <v>5</v>
      </c>
      <c r="B8" s="10">
        <v>30</v>
      </c>
      <c r="C8" s="10">
        <v>35</v>
      </c>
      <c r="D8" s="10">
        <v>40</v>
      </c>
      <c r="E8" s="10">
        <v>45</v>
      </c>
      <c r="F8" s="10">
        <v>50</v>
      </c>
      <c r="G8" s="10">
        <v>55</v>
      </c>
      <c r="H8" s="10">
        <v>60</v>
      </c>
    </row>
    <row r="9" spans="1:8" x14ac:dyDescent="0.35">
      <c r="A9" s="12" t="s">
        <v>6</v>
      </c>
      <c r="B9" s="10">
        <v>18</v>
      </c>
      <c r="C9" s="10">
        <v>23</v>
      </c>
      <c r="D9" s="10">
        <v>28</v>
      </c>
      <c r="E9" s="10">
        <v>33</v>
      </c>
      <c r="F9" s="10">
        <v>38</v>
      </c>
      <c r="G9" s="10">
        <v>43</v>
      </c>
      <c r="H9" s="10">
        <v>48</v>
      </c>
    </row>
    <row r="10" spans="1:8" x14ac:dyDescent="0.35">
      <c r="A10" s="12" t="s">
        <v>7</v>
      </c>
      <c r="B10" s="10">
        <v>0.1</v>
      </c>
      <c r="C10" s="10">
        <v>0.1</v>
      </c>
      <c r="D10" s="10">
        <v>0.1</v>
      </c>
      <c r="E10" s="10">
        <v>0.1</v>
      </c>
      <c r="F10" s="10">
        <v>0.1</v>
      </c>
      <c r="G10" s="10">
        <v>0.1</v>
      </c>
      <c r="H10" s="10">
        <v>0.1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1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4.8957897142857147</v>
      </c>
      <c r="C19">
        <v>4.8957897142857147</v>
      </c>
      <c r="D19">
        <v>4.8957897142857147</v>
      </c>
      <c r="E19">
        <v>4.8957897142857147</v>
      </c>
      <c r="F19">
        <v>4.8957897142857147</v>
      </c>
      <c r="G19">
        <v>4.8957897142857147</v>
      </c>
      <c r="H19">
        <v>4.8957897142857147</v>
      </c>
    </row>
    <row r="20" spans="1:8" x14ac:dyDescent="0.35">
      <c r="A20" t="s">
        <v>15</v>
      </c>
      <c r="B20">
        <v>5.1457897142857147</v>
      </c>
      <c r="C20">
        <v>5.1457897142857147</v>
      </c>
      <c r="D20">
        <v>5.1457897142857147</v>
      </c>
      <c r="E20">
        <v>5.1457897142857147</v>
      </c>
      <c r="F20">
        <v>5.1457897142857147</v>
      </c>
      <c r="G20">
        <v>5.1457897142857147</v>
      </c>
      <c r="H20">
        <v>5.1457897142857147</v>
      </c>
    </row>
    <row r="21" spans="1:8" x14ac:dyDescent="0.35">
      <c r="A21" s="12" t="s">
        <v>16</v>
      </c>
      <c r="B21" s="10">
        <v>3689.5312251429118</v>
      </c>
      <c r="C21" s="10">
        <v>13234.97114514336</v>
      </c>
      <c r="D21" s="10">
        <v>23068.392384001669</v>
      </c>
      <c r="E21" s="10">
        <v>30925.371197716711</v>
      </c>
      <c r="F21" s="10">
        <v>40619.214034283294</v>
      </c>
      <c r="G21" s="10">
        <v>41096.999474282951</v>
      </c>
      <c r="H21" s="10">
        <v>41429.124754282697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11</v>
      </c>
      <c r="C25">
        <v>204</v>
      </c>
      <c r="D25">
        <v>667</v>
      </c>
      <c r="E25">
        <v>874</v>
      </c>
      <c r="F25">
        <v>368</v>
      </c>
      <c r="G25">
        <v>10</v>
      </c>
      <c r="H25">
        <v>0</v>
      </c>
    </row>
    <row r="26" spans="1:8" x14ac:dyDescent="0.35">
      <c r="A26" t="s">
        <v>21</v>
      </c>
      <c r="B26">
        <v>1</v>
      </c>
      <c r="C26">
        <v>71</v>
      </c>
      <c r="D26">
        <v>449</v>
      </c>
      <c r="E26">
        <v>599</v>
      </c>
      <c r="F26">
        <v>174</v>
      </c>
      <c r="G26">
        <v>0</v>
      </c>
      <c r="H26">
        <v>0</v>
      </c>
    </row>
    <row r="27" spans="1:8" x14ac:dyDescent="0.35">
      <c r="A27" s="12" t="s">
        <v>22</v>
      </c>
      <c r="B27" s="10">
        <v>8039</v>
      </c>
      <c r="C27" s="10">
        <v>6124</v>
      </c>
      <c r="D27" s="10">
        <v>4058</v>
      </c>
      <c r="E27" s="10">
        <v>2274</v>
      </c>
      <c r="F27" s="10">
        <v>2</v>
      </c>
      <c r="G27" s="10">
        <v>0</v>
      </c>
      <c r="H27" s="10">
        <v>0</v>
      </c>
    </row>
    <row r="28" spans="1:8" x14ac:dyDescent="0.35">
      <c r="A28" t="s">
        <v>23</v>
      </c>
      <c r="B28">
        <v>4</v>
      </c>
      <c r="C28">
        <v>64</v>
      </c>
      <c r="D28">
        <v>106</v>
      </c>
      <c r="E28">
        <v>133</v>
      </c>
      <c r="F28">
        <v>178</v>
      </c>
      <c r="G28">
        <v>70</v>
      </c>
      <c r="H28">
        <v>0</v>
      </c>
    </row>
    <row r="29" spans="1:8" x14ac:dyDescent="0.35">
      <c r="A29" s="12" t="s">
        <v>24</v>
      </c>
      <c r="B29" s="10">
        <v>8043</v>
      </c>
      <c r="C29" s="10">
        <v>6188</v>
      </c>
      <c r="D29" s="10">
        <v>4164</v>
      </c>
      <c r="E29" s="10">
        <v>2407</v>
      </c>
      <c r="F29" s="10">
        <v>180</v>
      </c>
      <c r="G29" s="10">
        <v>70</v>
      </c>
      <c r="H29" s="10">
        <v>0</v>
      </c>
    </row>
    <row r="30" spans="1:8" x14ac:dyDescent="0.35">
      <c r="A30" s="12" t="s">
        <v>25</v>
      </c>
      <c r="B30" s="10">
        <v>8.1735159817351608</v>
      </c>
      <c r="C30" s="10">
        <v>28.55022831050228</v>
      </c>
      <c r="D30" s="10">
        <v>47.340182648401822</v>
      </c>
      <c r="E30" s="10">
        <v>65.684931506849324</v>
      </c>
      <c r="F30" s="10">
        <v>95.958904109589042</v>
      </c>
      <c r="G30" s="10">
        <v>99.200913242009136</v>
      </c>
      <c r="H30" s="10">
        <v>100</v>
      </c>
    </row>
    <row r="32" spans="1:8" x14ac:dyDescent="0.35">
      <c r="A32" s="1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921.85714285714278</v>
      </c>
      <c r="C34">
        <v>3306.8571428571431</v>
      </c>
      <c r="D34">
        <v>5909.1428571428569</v>
      </c>
      <c r="E34">
        <v>8168.142857142856</v>
      </c>
      <c r="F34">
        <v>11031.428571428571</v>
      </c>
      <c r="G34">
        <v>11172.857142857139</v>
      </c>
      <c r="H34">
        <v>11262.857142857139</v>
      </c>
    </row>
    <row r="35" spans="1:8" x14ac:dyDescent="0.35">
      <c r="A35" t="s">
        <v>28</v>
      </c>
      <c r="B35">
        <v>215.97428571428549</v>
      </c>
      <c r="C35">
        <v>1287.0257142857231</v>
      </c>
      <c r="D35">
        <v>2452.345714285651</v>
      </c>
      <c r="E35">
        <v>2722.3971428570549</v>
      </c>
      <c r="F35">
        <v>2705.0142857140449</v>
      </c>
      <c r="G35">
        <v>1177.4314285715029</v>
      </c>
      <c r="H35">
        <v>1302.171428571432</v>
      </c>
    </row>
    <row r="36" spans="1:8" x14ac:dyDescent="0.35">
      <c r="A36" t="s">
        <v>29</v>
      </c>
      <c r="B36">
        <v>1.763265306122447</v>
      </c>
      <c r="C36">
        <v>38.387755102040813</v>
      </c>
      <c r="D36">
        <v>156.183673469388</v>
      </c>
      <c r="E36">
        <v>200.6693877551057</v>
      </c>
      <c r="F36">
        <v>79.15102040816258</v>
      </c>
      <c r="G36">
        <v>0.96734693877550915</v>
      </c>
      <c r="H36">
        <v>0</v>
      </c>
    </row>
    <row r="37" spans="1:8" x14ac:dyDescent="0.35">
      <c r="A37" s="12" t="s">
        <v>30</v>
      </c>
      <c r="B37" s="10">
        <v>704.1195918367348</v>
      </c>
      <c r="C37" s="10">
        <v>1981.4436734693791</v>
      </c>
      <c r="D37" s="10">
        <v>3300.613469387818</v>
      </c>
      <c r="E37" s="10">
        <v>5245.076326530696</v>
      </c>
      <c r="F37" s="10">
        <v>8247.2632653063611</v>
      </c>
      <c r="G37" s="10">
        <v>9994.4583673468624</v>
      </c>
      <c r="H37" s="10">
        <v>9960.6857142857079</v>
      </c>
    </row>
    <row r="39" spans="1:8" x14ac:dyDescent="0.35">
      <c r="A39" s="1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1029</v>
      </c>
      <c r="C42">
        <v>2151</v>
      </c>
      <c r="D42">
        <v>3515</v>
      </c>
      <c r="E42">
        <v>5377</v>
      </c>
      <c r="F42">
        <v>7496</v>
      </c>
      <c r="G42">
        <v>8502</v>
      </c>
      <c r="H42">
        <v>8759</v>
      </c>
    </row>
    <row r="43" spans="1:8" x14ac:dyDescent="0.35">
      <c r="A43" t="s">
        <v>34</v>
      </c>
      <c r="B43">
        <v>7731</v>
      </c>
      <c r="C43">
        <v>6609</v>
      </c>
      <c r="D43">
        <v>5245</v>
      </c>
      <c r="E43">
        <v>3383</v>
      </c>
      <c r="F43">
        <v>1264</v>
      </c>
      <c r="G43">
        <v>258</v>
      </c>
      <c r="H43">
        <v>1</v>
      </c>
    </row>
    <row r="44" spans="1:8" x14ac:dyDescent="0.35">
      <c r="A44" t="s">
        <v>35</v>
      </c>
      <c r="B44">
        <v>262330.50000002992</v>
      </c>
      <c r="C44">
        <v>229979.50000001999</v>
      </c>
      <c r="D44">
        <v>190650.833333341</v>
      </c>
      <c r="E44">
        <v>136963.1666666599</v>
      </c>
      <c r="F44">
        <v>75865.333333334507</v>
      </c>
      <c r="G44">
        <v>46858.999999999847</v>
      </c>
      <c r="H44">
        <v>39448.833333333343</v>
      </c>
    </row>
    <row r="45" spans="1:8" x14ac:dyDescent="0.35">
      <c r="A45" s="12" t="s">
        <v>36</v>
      </c>
      <c r="B45" s="10">
        <v>348857.08333333331</v>
      </c>
      <c r="C45" s="10">
        <v>296760.13888888888</v>
      </c>
      <c r="D45" s="10">
        <v>243271.80555555559</v>
      </c>
      <c r="E45" s="10">
        <v>194979.5833333334</v>
      </c>
      <c r="F45" s="10">
        <v>127130.55555555561</v>
      </c>
      <c r="G45" s="10">
        <v>122950</v>
      </c>
      <c r="H45" s="10">
        <v>120966.6666666667</v>
      </c>
    </row>
    <row r="46" spans="1:8" x14ac:dyDescent="0.35">
      <c r="A46" s="12" t="s">
        <v>37</v>
      </c>
      <c r="B46" s="10">
        <v>304830.50000002992</v>
      </c>
      <c r="C46" s="10">
        <v>272479.50000002002</v>
      </c>
      <c r="D46" s="10">
        <v>233150.833333341</v>
      </c>
      <c r="E46" s="10">
        <v>179463.1666666599</v>
      </c>
      <c r="F46" s="10">
        <v>118365.33333333451</v>
      </c>
      <c r="G46" s="10">
        <v>89358.999999999854</v>
      </c>
      <c r="H46" s="10">
        <v>81948.833333333343</v>
      </c>
    </row>
    <row r="47" spans="1:8" x14ac:dyDescent="0.35">
      <c r="A47" s="12" t="s">
        <v>38</v>
      </c>
      <c r="B47" s="10">
        <v>325833.33333333331</v>
      </c>
      <c r="C47" s="10">
        <v>325833.33333333331</v>
      </c>
      <c r="D47" s="10">
        <v>325833.33333333331</v>
      </c>
      <c r="E47" s="10">
        <v>325833.33333333331</v>
      </c>
      <c r="F47" s="10">
        <v>325833.33333333331</v>
      </c>
      <c r="G47" s="10">
        <v>325833.33333333331</v>
      </c>
      <c r="H47" s="10">
        <v>325833.33333333331</v>
      </c>
    </row>
    <row r="49" spans="1:8" x14ac:dyDescent="0.35">
      <c r="A49" s="1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46918.333333333343</v>
      </c>
      <c r="C51">
        <v>56193.333333333343</v>
      </c>
      <c r="D51">
        <v>66313.333333333343</v>
      </c>
      <c r="E51">
        <v>75098.333333333343</v>
      </c>
      <c r="F51">
        <v>86233.333333333343</v>
      </c>
      <c r="G51">
        <v>86783.333333333343</v>
      </c>
      <c r="H51">
        <v>87133.333333333343</v>
      </c>
    </row>
    <row r="52" spans="1:8" x14ac:dyDescent="0.35">
      <c r="A52" t="s">
        <v>41</v>
      </c>
      <c r="B52">
        <v>44026.583333303453</v>
      </c>
      <c r="C52">
        <v>24280.638888868849</v>
      </c>
      <c r="D52">
        <v>10120.972222214539</v>
      </c>
      <c r="E52">
        <v>15516.41666667344</v>
      </c>
      <c r="F52">
        <v>8765.2222222210548</v>
      </c>
      <c r="G52">
        <v>33591.000000000153</v>
      </c>
      <c r="H52">
        <v>39017.833333333328</v>
      </c>
    </row>
    <row r="53" spans="1:8" x14ac:dyDescent="0.35">
      <c r="A53" t="s">
        <v>42</v>
      </c>
      <c r="B53">
        <v>23023.75</v>
      </c>
      <c r="C53">
        <v>-29073.194444444442</v>
      </c>
      <c r="D53">
        <v>-82561.527777777752</v>
      </c>
      <c r="E53">
        <v>-130853.7499999999</v>
      </c>
      <c r="F53">
        <v>-198702.77777777781</v>
      </c>
      <c r="G53">
        <v>-202883.33333333331</v>
      </c>
      <c r="H53">
        <v>-204866.6666666666</v>
      </c>
    </row>
    <row r="54" spans="1:8" x14ac:dyDescent="0.35">
      <c r="A54" t="s">
        <v>43</v>
      </c>
      <c r="B54">
        <v>50.895449145100478</v>
      </c>
      <c r="C54">
        <v>16.99297275502563</v>
      </c>
      <c r="D54">
        <v>11.22215775392451</v>
      </c>
      <c r="E54">
        <v>9.1940523870320838</v>
      </c>
      <c r="F54">
        <v>7.817059483726152</v>
      </c>
      <c r="G54">
        <v>7.7673358053104904</v>
      </c>
      <c r="H54">
        <v>7.7363436495856606</v>
      </c>
    </row>
    <row r="55" spans="1:8" x14ac:dyDescent="0.35">
      <c r="A55" s="12" t="s">
        <v>44</v>
      </c>
      <c r="B55" s="10">
        <v>66.634040406323976</v>
      </c>
      <c r="C55" s="10">
        <v>28.359793460564269</v>
      </c>
      <c r="D55" s="10">
        <v>20.091214541893279</v>
      </c>
      <c r="E55" s="10">
        <v>14.31787235458714</v>
      </c>
      <c r="F55" s="10">
        <v>10.45599377142352</v>
      </c>
      <c r="G55" s="10">
        <v>8.6831452134380065</v>
      </c>
      <c r="H55" s="10">
        <v>8.7477243869230712</v>
      </c>
    </row>
    <row r="56" spans="1:8" x14ac:dyDescent="0.35">
      <c r="A56" s="12" t="s">
        <v>45</v>
      </c>
      <c r="B56" s="10">
        <v>62.527138633449582</v>
      </c>
      <c r="C56" s="10">
        <v>12.254014188732921</v>
      </c>
      <c r="D56" s="10">
        <v>3.0663912378966711</v>
      </c>
      <c r="E56" s="10">
        <v>2.9582823396083202</v>
      </c>
      <c r="F56" s="10">
        <v>1.062803737464473</v>
      </c>
      <c r="G56" s="10">
        <v>3.3609625219657842</v>
      </c>
      <c r="H56" s="10">
        <v>3.917183460308721</v>
      </c>
    </row>
    <row r="57" spans="1:8" x14ac:dyDescent="0.35">
      <c r="A57" s="12" t="s">
        <v>46</v>
      </c>
      <c r="B57" s="10">
        <v>32.698635667758197</v>
      </c>
      <c r="C57" s="10">
        <v>-14.672733236741051</v>
      </c>
      <c r="D57" s="10">
        <v>-25.013994684173319</v>
      </c>
      <c r="E57" s="10">
        <v>-24.94792103179018</v>
      </c>
      <c r="F57" s="10">
        <v>-24.093177504549629</v>
      </c>
      <c r="G57" s="10">
        <v>-20.2995826163205</v>
      </c>
      <c r="H57" s="10">
        <v>-20.567526427708181</v>
      </c>
    </row>
    <row r="59" spans="1:8" x14ac:dyDescent="0.35">
      <c r="A59" s="1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2716904.166666667</v>
      </c>
      <c r="C61">
        <v>2195934.722222222</v>
      </c>
      <c r="D61">
        <v>1661051.388888889</v>
      </c>
      <c r="E61">
        <v>1178129.166666667</v>
      </c>
      <c r="F61">
        <v>499638.88888888888</v>
      </c>
      <c r="G61">
        <v>457833.33333333331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2623305</v>
      </c>
      <c r="C63">
        <v>2299795</v>
      </c>
      <c r="D63">
        <v>1906508.333333333</v>
      </c>
      <c r="E63">
        <v>1369631.666666667</v>
      </c>
      <c r="F63">
        <v>758653.33333333326</v>
      </c>
      <c r="G63">
        <v>468590</v>
      </c>
      <c r="H63">
        <v>394488.33333333331</v>
      </c>
    </row>
    <row r="64" spans="1:8" x14ac:dyDescent="0.35">
      <c r="A64" s="12" t="s">
        <v>51</v>
      </c>
      <c r="B64" s="10">
        <v>1.3101488774733641</v>
      </c>
      <c r="C64" s="10">
        <v>1.250677479705733</v>
      </c>
      <c r="D64" s="10">
        <v>1.1896177384576361</v>
      </c>
      <c r="E64" s="10">
        <v>1.134489630898021</v>
      </c>
      <c r="F64" s="10">
        <v>1.0570364028411969</v>
      </c>
      <c r="G64" s="10">
        <v>1.052264079147641</v>
      </c>
      <c r="H64" s="10">
        <v>1.05</v>
      </c>
    </row>
    <row r="65" spans="1:8" x14ac:dyDescent="0.35">
      <c r="A65" s="12" t="s">
        <v>52</v>
      </c>
      <c r="B65" s="10">
        <v>1.333333333333333</v>
      </c>
      <c r="C65" s="10">
        <v>1.333333333333333</v>
      </c>
      <c r="D65" s="10">
        <v>1.333333333333333</v>
      </c>
      <c r="E65" s="10">
        <v>1.333333333333333</v>
      </c>
      <c r="F65" s="10">
        <v>1.333333333333333</v>
      </c>
      <c r="G65" s="10">
        <v>1.333333333333333</v>
      </c>
      <c r="H65" s="10">
        <v>1.333333333333333</v>
      </c>
    </row>
    <row r="66" spans="1:8" x14ac:dyDescent="0.35">
      <c r="A66" s="12" t="s">
        <v>53</v>
      </c>
      <c r="B66" s="10">
        <v>1.29946404109589</v>
      </c>
      <c r="C66" s="10">
        <v>1.262533675799087</v>
      </c>
      <c r="D66" s="10">
        <v>1.2176379375951289</v>
      </c>
      <c r="E66" s="10">
        <v>1.156350646879756</v>
      </c>
      <c r="F66" s="10">
        <v>1.086604261796043</v>
      </c>
      <c r="G66" s="10">
        <v>1.05349200913242</v>
      </c>
      <c r="H66" s="10">
        <v>1.0450329147640789</v>
      </c>
    </row>
    <row r="67" spans="1:8" x14ac:dyDescent="0.35">
      <c r="A67" s="12" t="s">
        <v>54</v>
      </c>
      <c r="B67">
        <v>-8.0378948839809908E-2</v>
      </c>
      <c r="C67" s="10">
        <v>-0.22619220016773733</v>
      </c>
      <c r="D67" s="10">
        <v>-0.37678235951915734</v>
      </c>
      <c r="E67">
        <v>-0.59875300531172337</v>
      </c>
      <c r="F67" s="10">
        <v>-0.94146840928154807</v>
      </c>
      <c r="G67">
        <v>-1.1409199049482719</v>
      </c>
      <c r="H67">
        <v>-1.1370645792563594</v>
      </c>
    </row>
    <row r="68" spans="1:8" x14ac:dyDescent="0.35">
      <c r="A68" s="7" t="s">
        <v>55</v>
      </c>
      <c r="B68">
        <v>0.73</v>
      </c>
      <c r="C68">
        <v>0.73</v>
      </c>
      <c r="D68" s="10">
        <v>0.73</v>
      </c>
      <c r="E68" s="10">
        <v>0.73</v>
      </c>
      <c r="F68">
        <v>0.73</v>
      </c>
      <c r="G68" s="10">
        <v>0.73</v>
      </c>
      <c r="H68">
        <v>0.73</v>
      </c>
    </row>
    <row r="69" spans="1:8" x14ac:dyDescent="0.35">
      <c r="A69" s="7" t="s">
        <v>56</v>
      </c>
      <c r="B69">
        <v>2.2999999999999998</v>
      </c>
      <c r="C69">
        <v>2.2999999999999998</v>
      </c>
      <c r="D69" s="10">
        <v>2.2999999999999998</v>
      </c>
      <c r="E69" s="10">
        <v>2.2999999999999998</v>
      </c>
      <c r="F69">
        <v>2.2999999999999998</v>
      </c>
      <c r="G69" s="10">
        <v>2.2999999999999998</v>
      </c>
      <c r="H69">
        <v>2.2999999999999998</v>
      </c>
    </row>
    <row r="70" spans="1:8" x14ac:dyDescent="0.35">
      <c r="A70" s="4" t="s">
        <v>57</v>
      </c>
      <c r="B70">
        <v>6248.8795833333343</v>
      </c>
      <c r="C70">
        <v>5050.6498611111101</v>
      </c>
      <c r="D70" s="10">
        <v>3820.4181944444445</v>
      </c>
      <c r="E70" s="10">
        <v>2709.6970833333339</v>
      </c>
      <c r="F70">
        <v>1149.1694444444443</v>
      </c>
      <c r="G70" s="10">
        <v>1053.0166666666664</v>
      </c>
      <c r="H70">
        <v>1007.3999999999999</v>
      </c>
    </row>
    <row r="71" spans="1:8" x14ac:dyDescent="0.35">
      <c r="A71" s="4" t="s">
        <v>58</v>
      </c>
      <c r="B71">
        <v>1983.3400416666668</v>
      </c>
      <c r="C71">
        <v>1603.0323472222219</v>
      </c>
      <c r="D71" s="10">
        <v>1212.5675138888889</v>
      </c>
      <c r="E71" s="10">
        <v>860.03429166666683</v>
      </c>
      <c r="F71">
        <v>364.73638888888888</v>
      </c>
      <c r="G71" s="10">
        <v>334.21833333333331</v>
      </c>
      <c r="H71">
        <v>319.74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2454</v>
      </c>
      <c r="C75">
        <v>4460</v>
      </c>
      <c r="D75">
        <v>6279</v>
      </c>
      <c r="E75">
        <v>8749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264699.98133333336</v>
      </c>
      <c r="C76">
        <v>204102.73333333334</v>
      </c>
      <c r="D76">
        <v>149154.38133333332</v>
      </c>
      <c r="E76">
        <v>74540.621333333329</v>
      </c>
      <c r="F76">
        <v>74208.333333333328</v>
      </c>
      <c r="G76">
        <v>74208.333333333328</v>
      </c>
      <c r="H76">
        <v>74208.333333333328</v>
      </c>
    </row>
    <row r="77" spans="1:8" x14ac:dyDescent="0.35">
      <c r="A77" s="12" t="s">
        <v>63</v>
      </c>
      <c r="C77">
        <v>46.762573570066941</v>
      </c>
      <c r="D77">
        <v>28.515130624998243</v>
      </c>
      <c r="E77">
        <v>22.962289679331175</v>
      </c>
      <c r="F77">
        <v>6.4169434780685854</v>
      </c>
      <c r="G77">
        <v>4.8768692484538985</v>
      </c>
      <c r="H77">
        <v>4.69428859363288</v>
      </c>
    </row>
    <row r="78" spans="1:8" x14ac:dyDescent="0.35">
      <c r="A78" t="s">
        <v>64</v>
      </c>
      <c r="B78">
        <v>2126540</v>
      </c>
      <c r="C78">
        <v>1477933.333333333</v>
      </c>
      <c r="D78">
        <v>889790</v>
      </c>
      <c r="E78">
        <v>91156.666666666672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 s="10">
        <v>1.2427557077625571</v>
      </c>
      <c r="C79" s="10">
        <v>1.1687138508371391</v>
      </c>
      <c r="D79" s="10">
        <v>1.1015742009132421</v>
      </c>
      <c r="E79" s="10">
        <v>1.0104060121765599</v>
      </c>
      <c r="F79" s="10">
        <v>1.01</v>
      </c>
      <c r="G79" s="10">
        <v>1.01</v>
      </c>
      <c r="H79" s="10">
        <v>1.01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5A57-3E14-407B-A542-2C611D33E286}">
  <dimension ref="A1:H79"/>
  <sheetViews>
    <sheetView topLeftCell="B61" workbookViewId="0">
      <selection activeCell="J80" sqref="J80"/>
    </sheetView>
  </sheetViews>
  <sheetFormatPr defaultRowHeight="14.5" x14ac:dyDescent="0.35"/>
  <cols>
    <col min="1" max="1" width="74.4531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12" t="s">
        <v>5</v>
      </c>
      <c r="B8" s="10">
        <v>30</v>
      </c>
      <c r="C8" s="10">
        <v>35</v>
      </c>
      <c r="D8" s="10">
        <v>40</v>
      </c>
      <c r="E8" s="10">
        <v>45</v>
      </c>
      <c r="F8" s="10">
        <v>50</v>
      </c>
      <c r="G8" s="10">
        <v>55</v>
      </c>
      <c r="H8" s="10">
        <v>60</v>
      </c>
    </row>
    <row r="9" spans="1:8" x14ac:dyDescent="0.35">
      <c r="A9" s="12" t="s">
        <v>6</v>
      </c>
      <c r="B9" s="10">
        <v>18</v>
      </c>
      <c r="C9" s="10">
        <v>23</v>
      </c>
      <c r="D9" s="10">
        <v>28</v>
      </c>
      <c r="E9" s="10">
        <v>33</v>
      </c>
      <c r="F9" s="10">
        <v>38</v>
      </c>
      <c r="G9" s="10">
        <v>43</v>
      </c>
      <c r="H9" s="10">
        <v>48</v>
      </c>
    </row>
    <row r="10" spans="1:8" x14ac:dyDescent="0.35">
      <c r="A10" s="12" t="s">
        <v>7</v>
      </c>
      <c r="B10" s="10">
        <v>0.09</v>
      </c>
      <c r="C10" s="10">
        <v>0.09</v>
      </c>
      <c r="D10" s="10">
        <v>0.09</v>
      </c>
      <c r="E10" s="10">
        <v>0.09</v>
      </c>
      <c r="F10" s="10">
        <v>0.09</v>
      </c>
      <c r="G10" s="10">
        <v>0.09</v>
      </c>
      <c r="H10" s="10">
        <v>0.09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1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4.0935040000000003</v>
      </c>
      <c r="C19">
        <v>4.0935040000000003</v>
      </c>
      <c r="D19">
        <v>4.0935040000000003</v>
      </c>
      <c r="E19">
        <v>4.0935040000000003</v>
      </c>
      <c r="F19">
        <v>4.0935040000000003</v>
      </c>
      <c r="G19">
        <v>4.0935040000000003</v>
      </c>
      <c r="H19">
        <v>4.0935040000000003</v>
      </c>
    </row>
    <row r="20" spans="1:8" x14ac:dyDescent="0.35">
      <c r="A20" t="s">
        <v>15</v>
      </c>
      <c r="B20">
        <v>4.3435040000000003</v>
      </c>
      <c r="C20">
        <v>4.3435040000000003</v>
      </c>
      <c r="D20">
        <v>4.3435040000000003</v>
      </c>
      <c r="E20">
        <v>4.3435040000000003</v>
      </c>
      <c r="F20">
        <v>4.3435040000000003</v>
      </c>
      <c r="G20">
        <v>4.3435040000000003</v>
      </c>
      <c r="H20">
        <v>4.3435040000000003</v>
      </c>
    </row>
    <row r="21" spans="1:8" x14ac:dyDescent="0.35">
      <c r="A21" s="12" t="s">
        <v>16</v>
      </c>
      <c r="B21" s="10">
        <v>0</v>
      </c>
      <c r="C21" s="10">
        <v>0</v>
      </c>
      <c r="D21" s="10">
        <v>583.30203200000062</v>
      </c>
      <c r="E21" s="10">
        <v>19912.697117715681</v>
      </c>
      <c r="F21" s="10">
        <v>37165.897291427849</v>
      </c>
      <c r="G21" s="10">
        <v>37994.704269712936</v>
      </c>
      <c r="H21" s="10">
        <v>38056.315611427177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0</v>
      </c>
      <c r="C25">
        <v>0</v>
      </c>
      <c r="D25">
        <v>15</v>
      </c>
      <c r="E25">
        <v>486</v>
      </c>
      <c r="F25">
        <v>118</v>
      </c>
      <c r="G25">
        <v>0</v>
      </c>
      <c r="H25">
        <v>0</v>
      </c>
    </row>
    <row r="26" spans="1:8" x14ac:dyDescent="0.35">
      <c r="A26" t="s">
        <v>21</v>
      </c>
      <c r="B26">
        <v>0</v>
      </c>
      <c r="C26">
        <v>0</v>
      </c>
      <c r="D26">
        <v>1</v>
      </c>
      <c r="E26">
        <v>198</v>
      </c>
      <c r="F26">
        <v>16</v>
      </c>
      <c r="G26">
        <v>0</v>
      </c>
      <c r="H26">
        <v>0</v>
      </c>
    </row>
    <row r="27" spans="1:8" x14ac:dyDescent="0.35">
      <c r="A27" s="12" t="s">
        <v>22</v>
      </c>
      <c r="B27" s="10">
        <v>8760</v>
      </c>
      <c r="C27" s="10">
        <v>8760</v>
      </c>
      <c r="D27" s="10">
        <v>8618</v>
      </c>
      <c r="E27" s="10">
        <v>3933</v>
      </c>
      <c r="F27" s="10">
        <v>16</v>
      </c>
      <c r="G27" s="10">
        <v>0</v>
      </c>
      <c r="H27" s="10">
        <v>0</v>
      </c>
    </row>
    <row r="28" spans="1:8" x14ac:dyDescent="0.35">
      <c r="A28" t="s">
        <v>23</v>
      </c>
      <c r="B28">
        <v>0</v>
      </c>
      <c r="C28">
        <v>0</v>
      </c>
      <c r="D28">
        <v>9</v>
      </c>
      <c r="E28">
        <v>244</v>
      </c>
      <c r="F28">
        <v>189</v>
      </c>
      <c r="G28">
        <v>14</v>
      </c>
      <c r="H28">
        <v>0</v>
      </c>
    </row>
    <row r="29" spans="1:8" x14ac:dyDescent="0.35">
      <c r="A29" s="12" t="s">
        <v>24</v>
      </c>
      <c r="B29" s="10">
        <v>8760</v>
      </c>
      <c r="C29" s="10">
        <v>8760</v>
      </c>
      <c r="D29" s="10">
        <v>8627</v>
      </c>
      <c r="E29" s="10">
        <v>4177</v>
      </c>
      <c r="F29" s="10">
        <v>205</v>
      </c>
      <c r="G29" s="10">
        <v>14</v>
      </c>
      <c r="H29" s="10">
        <v>0</v>
      </c>
    </row>
    <row r="30" spans="1:8" x14ac:dyDescent="0.35">
      <c r="A30" s="12" t="s">
        <v>25</v>
      </c>
      <c r="B30" s="10">
        <v>0</v>
      </c>
      <c r="C30" s="10">
        <v>0</v>
      </c>
      <c r="D30" s="10">
        <v>1.506849315068493</v>
      </c>
      <c r="E30" s="10">
        <v>50.057077625570777</v>
      </c>
      <c r="F30" s="10">
        <v>97.477168949771681</v>
      </c>
      <c r="G30" s="10">
        <v>99.840182648401836</v>
      </c>
      <c r="H30" s="10">
        <v>100</v>
      </c>
    </row>
    <row r="32" spans="1:8" x14ac:dyDescent="0.35">
      <c r="A32" s="1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0</v>
      </c>
      <c r="C34">
        <v>0</v>
      </c>
      <c r="D34">
        <v>171</v>
      </c>
      <c r="E34">
        <v>5892.4285714285716</v>
      </c>
      <c r="F34">
        <v>10999.28571428571</v>
      </c>
      <c r="G34">
        <v>11244.857142857139</v>
      </c>
      <c r="H34">
        <v>11262.857142857139</v>
      </c>
    </row>
    <row r="35" spans="1:8" x14ac:dyDescent="0.35">
      <c r="A35" t="s">
        <v>28</v>
      </c>
      <c r="B35">
        <v>0</v>
      </c>
      <c r="C35">
        <v>0</v>
      </c>
      <c r="D35">
        <v>79.122857142857129</v>
      </c>
      <c r="E35">
        <v>2802.44571428566</v>
      </c>
      <c r="F35">
        <v>2351.828571428583</v>
      </c>
      <c r="G35">
        <v>1030.5771428572129</v>
      </c>
      <c r="H35">
        <v>847.64571428578279</v>
      </c>
    </row>
    <row r="36" spans="1:8" x14ac:dyDescent="0.35">
      <c r="A36" t="s">
        <v>29</v>
      </c>
      <c r="B36">
        <v>0</v>
      </c>
      <c r="C36">
        <v>0</v>
      </c>
      <c r="D36">
        <v>2.5469387755102009</v>
      </c>
      <c r="E36">
        <v>98.730612244896975</v>
      </c>
      <c r="F36">
        <v>20.130612244897911</v>
      </c>
      <c r="G36">
        <v>0</v>
      </c>
      <c r="H36">
        <v>0</v>
      </c>
    </row>
    <row r="37" spans="1:8" x14ac:dyDescent="0.35">
      <c r="A37" s="12" t="s">
        <v>30</v>
      </c>
      <c r="B37" s="10">
        <v>0</v>
      </c>
      <c r="C37" s="10">
        <v>0</v>
      </c>
      <c r="D37" s="10">
        <v>89.330204081632658</v>
      </c>
      <c r="E37" s="10">
        <v>2991.2522448980139</v>
      </c>
      <c r="F37" s="10">
        <v>8627.3265306122321</v>
      </c>
      <c r="G37" s="10">
        <v>10214.27999999993</v>
      </c>
      <c r="H37" s="10">
        <v>10415.21142857136</v>
      </c>
    </row>
    <row r="39" spans="1:8" x14ac:dyDescent="0.35">
      <c r="A39" s="1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0</v>
      </c>
      <c r="C42">
        <v>1</v>
      </c>
      <c r="D42">
        <v>620</v>
      </c>
      <c r="E42">
        <v>4184</v>
      </c>
      <c r="F42">
        <v>7862</v>
      </c>
      <c r="G42">
        <v>8704</v>
      </c>
      <c r="H42">
        <v>8760</v>
      </c>
    </row>
    <row r="43" spans="1:8" x14ac:dyDescent="0.35">
      <c r="A43" t="s">
        <v>34</v>
      </c>
      <c r="B43">
        <v>8760</v>
      </c>
      <c r="C43">
        <v>8759</v>
      </c>
      <c r="D43">
        <v>8140</v>
      </c>
      <c r="E43">
        <v>4576</v>
      </c>
      <c r="F43">
        <v>898</v>
      </c>
      <c r="G43">
        <v>56</v>
      </c>
      <c r="H43">
        <v>0</v>
      </c>
    </row>
    <row r="44" spans="1:8" x14ac:dyDescent="0.35">
      <c r="A44" t="s">
        <v>35</v>
      </c>
      <c r="B44">
        <v>262799.99999999988</v>
      </c>
      <c r="C44">
        <v>262774.05</v>
      </c>
      <c r="D44">
        <v>246710.99999999761</v>
      </c>
      <c r="E44">
        <v>154225.19999998299</v>
      </c>
      <c r="F44">
        <v>58781.100000010621</v>
      </c>
      <c r="G44">
        <v>36931.199999999139</v>
      </c>
      <c r="H44">
        <v>35477.999999997803</v>
      </c>
    </row>
    <row r="45" spans="1:8" x14ac:dyDescent="0.35">
      <c r="A45" s="12" t="s">
        <v>36</v>
      </c>
      <c r="B45" s="10">
        <v>339966.66666666663</v>
      </c>
      <c r="C45" s="10">
        <v>339966.66666666663</v>
      </c>
      <c r="D45" s="10">
        <v>336579.54166666663</v>
      </c>
      <c r="E45" s="10">
        <v>224461.6666666666</v>
      </c>
      <c r="F45" s="10">
        <v>121874.1666666667</v>
      </c>
      <c r="G45" s="10">
        <v>116943.6666666667</v>
      </c>
      <c r="H45" s="10">
        <v>116586.6666666667</v>
      </c>
    </row>
    <row r="46" spans="1:8" x14ac:dyDescent="0.35">
      <c r="A46" s="12" t="s">
        <v>37</v>
      </c>
      <c r="B46" s="10">
        <v>296633.33333333331</v>
      </c>
      <c r="C46" s="10">
        <v>305274.05</v>
      </c>
      <c r="D46" s="10">
        <v>289210.99999999761</v>
      </c>
      <c r="E46" s="10">
        <v>196725.19999998299</v>
      </c>
      <c r="F46" s="10">
        <v>101281.1000000106</v>
      </c>
      <c r="G46" s="10">
        <v>79431.199999999139</v>
      </c>
      <c r="H46" s="10">
        <v>44144.66666666446</v>
      </c>
    </row>
    <row r="47" spans="1:8" x14ac:dyDescent="0.35">
      <c r="A47" s="12" t="s">
        <v>38</v>
      </c>
      <c r="B47" s="10">
        <v>296633.33333333331</v>
      </c>
      <c r="C47" s="10">
        <v>296633.33333333331</v>
      </c>
      <c r="D47" s="10">
        <v>296633.33333333331</v>
      </c>
      <c r="E47" s="10">
        <v>296633.33333333331</v>
      </c>
      <c r="F47" s="10">
        <v>296633.33333333331</v>
      </c>
      <c r="G47" s="10">
        <v>296633.33333333331</v>
      </c>
      <c r="H47" s="10">
        <v>296633.33333333331</v>
      </c>
    </row>
    <row r="49" spans="1:8" x14ac:dyDescent="0.35">
      <c r="A49" s="1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43333.333333333343</v>
      </c>
      <c r="C51">
        <v>43333.333333333343</v>
      </c>
      <c r="D51">
        <v>43931.833333333343</v>
      </c>
      <c r="E51">
        <v>63956.833333333343</v>
      </c>
      <c r="F51">
        <v>81830.833333333343</v>
      </c>
      <c r="G51">
        <v>82690.333333333343</v>
      </c>
      <c r="H51">
        <v>82753.333333333343</v>
      </c>
    </row>
    <row r="52" spans="1:8" x14ac:dyDescent="0.35">
      <c r="A52" t="s">
        <v>41</v>
      </c>
      <c r="B52">
        <v>43333.333333333307</v>
      </c>
      <c r="C52">
        <v>34692.616666666581</v>
      </c>
      <c r="D52">
        <v>47368.541666669007</v>
      </c>
      <c r="E52">
        <v>27736.466666683609</v>
      </c>
      <c r="F52">
        <v>20593.066666656039</v>
      </c>
      <c r="G52">
        <v>37512.466666667533</v>
      </c>
      <c r="H52">
        <v>72442.000000002212</v>
      </c>
    </row>
    <row r="53" spans="1:8" x14ac:dyDescent="0.35">
      <c r="A53" t="s">
        <v>42</v>
      </c>
      <c r="B53">
        <v>43333.333333333307</v>
      </c>
      <c r="C53">
        <v>43333.333333333307</v>
      </c>
      <c r="D53">
        <v>39946.208333333372</v>
      </c>
      <c r="E53">
        <v>-72171.666666666628</v>
      </c>
      <c r="F53">
        <v>-174759.1666666666</v>
      </c>
      <c r="G53">
        <v>-179689.6666666666</v>
      </c>
      <c r="H53">
        <v>-180046.6666666666</v>
      </c>
    </row>
    <row r="54" spans="1:8" x14ac:dyDescent="0.35">
      <c r="A54" t="s">
        <v>43</v>
      </c>
      <c r="B54">
        <v>0</v>
      </c>
      <c r="C54">
        <v>0</v>
      </c>
      <c r="D54">
        <v>256.91130604288497</v>
      </c>
      <c r="E54">
        <v>10.854070195004081</v>
      </c>
      <c r="F54">
        <v>7.4396497608069811</v>
      </c>
      <c r="G54">
        <v>7.3536135037392771</v>
      </c>
      <c r="H54">
        <v>7.3474547606967713</v>
      </c>
    </row>
    <row r="55" spans="1:8" x14ac:dyDescent="0.35">
      <c r="A55" s="12" t="s">
        <v>44</v>
      </c>
      <c r="B55" s="10">
        <v>0</v>
      </c>
      <c r="C55" s="10">
        <v>0</v>
      </c>
      <c r="D55" s="10">
        <v>491.79148066411102</v>
      </c>
      <c r="E55" s="10">
        <v>21.38129054225379</v>
      </c>
      <c r="F55" s="10">
        <v>9.4850743208772812</v>
      </c>
      <c r="G55" s="10">
        <v>8.0955616385426978</v>
      </c>
      <c r="H55" s="10">
        <v>7.9454299992721804</v>
      </c>
    </row>
    <row r="56" spans="1:8" x14ac:dyDescent="0.35">
      <c r="A56" s="12" t="s">
        <v>45</v>
      </c>
      <c r="B56" s="10">
        <v>0</v>
      </c>
      <c r="C56" s="10">
        <v>0</v>
      </c>
      <c r="D56" s="10">
        <v>530.26344396775585</v>
      </c>
      <c r="E56" s="10">
        <v>9.2725268201609907</v>
      </c>
      <c r="F56" s="10">
        <v>2.3869580679004021</v>
      </c>
      <c r="G56" s="10">
        <v>3.6725512387234138</v>
      </c>
      <c r="H56" s="10">
        <v>6.9554036897683007</v>
      </c>
    </row>
    <row r="57" spans="1:8" x14ac:dyDescent="0.35">
      <c r="A57" s="12" t="s">
        <v>46</v>
      </c>
      <c r="B57" s="10">
        <v>0</v>
      </c>
      <c r="C57" s="10">
        <v>0</v>
      </c>
      <c r="D57" s="10">
        <v>447.17471256227412</v>
      </c>
      <c r="E57" s="10">
        <v>-24.127576265012479</v>
      </c>
      <c r="F57" s="10">
        <v>-20.256468333100749</v>
      </c>
      <c r="G57" s="10">
        <v>-17.592005179676669</v>
      </c>
      <c r="H57" s="10">
        <v>-17.286895028626731</v>
      </c>
    </row>
    <row r="59" spans="1:8" x14ac:dyDescent="0.35">
      <c r="A59" s="1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2920000</v>
      </c>
      <c r="C61">
        <v>2920000</v>
      </c>
      <c r="D61">
        <v>2882365.277777778</v>
      </c>
      <c r="E61">
        <v>1636611.111111111</v>
      </c>
      <c r="F61">
        <v>496750</v>
      </c>
      <c r="G61">
        <v>441966.66666666669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2920000</v>
      </c>
      <c r="C63">
        <v>2919711.666666667</v>
      </c>
      <c r="D63">
        <v>2741233.333333333</v>
      </c>
      <c r="E63">
        <v>1713613.333333333</v>
      </c>
      <c r="F63">
        <v>653123.33333333326</v>
      </c>
      <c r="G63">
        <v>410346.66666666669</v>
      </c>
      <c r="H63">
        <v>394200</v>
      </c>
    </row>
    <row r="64" spans="1:8" x14ac:dyDescent="0.35">
      <c r="A64" s="12" t="s">
        <v>51</v>
      </c>
      <c r="B64" s="10">
        <v>1.333333333333333</v>
      </c>
      <c r="C64" s="10">
        <v>1.333333333333333</v>
      </c>
      <c r="D64" s="10">
        <v>1.3290371321664129</v>
      </c>
      <c r="E64" s="10">
        <v>1.186827752409944</v>
      </c>
      <c r="F64" s="10">
        <v>1.0567066210045659</v>
      </c>
      <c r="G64" s="10">
        <v>1.0504528158295281</v>
      </c>
      <c r="H64" s="10">
        <v>1.05</v>
      </c>
    </row>
    <row r="65" spans="1:8" x14ac:dyDescent="0.35">
      <c r="A65" s="12" t="s">
        <v>52</v>
      </c>
      <c r="B65" s="10">
        <v>1.333333333333333</v>
      </c>
      <c r="C65" s="10">
        <v>1.333333333333333</v>
      </c>
      <c r="D65" s="10">
        <v>1.333333333333333</v>
      </c>
      <c r="E65" s="10">
        <v>1.333333333333333</v>
      </c>
      <c r="F65" s="10">
        <v>1.333333333333333</v>
      </c>
      <c r="G65" s="10">
        <v>1.333333333333333</v>
      </c>
      <c r="H65" s="10">
        <v>1.333333333333333</v>
      </c>
    </row>
    <row r="66" spans="1:8" x14ac:dyDescent="0.35">
      <c r="A66" s="12" t="s">
        <v>53</v>
      </c>
      <c r="B66" s="10">
        <v>1.333333333333333</v>
      </c>
      <c r="C66" s="10">
        <v>1.3333004185692541</v>
      </c>
      <c r="D66" s="10">
        <v>1.3129261796042619</v>
      </c>
      <c r="E66" s="10">
        <v>1.1956179604261801</v>
      </c>
      <c r="F66" s="10">
        <v>1.074557458143075</v>
      </c>
      <c r="G66" s="10">
        <v>1.046843226788432</v>
      </c>
      <c r="H66" s="10">
        <v>1.0449999999999999</v>
      </c>
    </row>
    <row r="67" spans="1:8" x14ac:dyDescent="0.35">
      <c r="A67" s="12" t="s">
        <v>54</v>
      </c>
      <c r="B67">
        <v>0</v>
      </c>
      <c r="C67" s="10">
        <v>0</v>
      </c>
      <c r="D67" s="10">
        <v>-1.0197511881464914E-2</v>
      </c>
      <c r="E67">
        <v>-0.34146715124406551</v>
      </c>
      <c r="F67" s="10">
        <v>-0.98485462678221825</v>
      </c>
      <c r="G67">
        <v>-1.166013698630129</v>
      </c>
      <c r="H67">
        <v>-1.1889510763209314</v>
      </c>
    </row>
    <row r="68" spans="1:8" x14ac:dyDescent="0.35">
      <c r="A68" s="7" t="s">
        <v>55</v>
      </c>
      <c r="B68">
        <v>0.75</v>
      </c>
      <c r="C68" s="10">
        <v>0.75</v>
      </c>
      <c r="D68" s="10">
        <v>0.75</v>
      </c>
      <c r="E68">
        <v>0.75</v>
      </c>
      <c r="F68" s="10">
        <v>0.75</v>
      </c>
      <c r="G68">
        <v>0.75</v>
      </c>
      <c r="H68">
        <v>0.75</v>
      </c>
    </row>
    <row r="69" spans="1:8" x14ac:dyDescent="0.35">
      <c r="A69" s="7" t="s">
        <v>56</v>
      </c>
      <c r="B69">
        <v>2.2999999999999998</v>
      </c>
      <c r="C69" s="10">
        <v>2.2999999999999998</v>
      </c>
      <c r="D69" s="10">
        <v>2.2999999999999998</v>
      </c>
      <c r="E69">
        <v>2.2999999999999998</v>
      </c>
      <c r="F69" s="10">
        <v>2.2999999999999998</v>
      </c>
      <c r="G69">
        <v>2.2999999999999998</v>
      </c>
      <c r="H69">
        <v>2.2999999999999998</v>
      </c>
    </row>
    <row r="70" spans="1:8" x14ac:dyDescent="0.35">
      <c r="A70" s="4" t="s">
        <v>57</v>
      </c>
      <c r="B70">
        <v>6715.9999999999991</v>
      </c>
      <c r="C70" s="10">
        <v>6715.9999999999991</v>
      </c>
      <c r="D70" s="10">
        <v>6629.4401388888891</v>
      </c>
      <c r="E70">
        <v>3764.2055555555548</v>
      </c>
      <c r="F70" s="10">
        <v>1142.5250000000001</v>
      </c>
      <c r="G70">
        <v>1016.5233333333333</v>
      </c>
      <c r="H70">
        <v>1007.3999999999999</v>
      </c>
    </row>
    <row r="71" spans="1:8" x14ac:dyDescent="0.35">
      <c r="A71" s="4" t="s">
        <v>58</v>
      </c>
      <c r="B71">
        <v>2190</v>
      </c>
      <c r="C71" s="10">
        <v>2190</v>
      </c>
      <c r="D71" s="10">
        <v>2161.7739583333337</v>
      </c>
      <c r="E71">
        <v>1227.4583333333333</v>
      </c>
      <c r="F71" s="10">
        <v>372.5625</v>
      </c>
      <c r="G71">
        <v>331.47500000000002</v>
      </c>
      <c r="H71">
        <v>328.5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0</v>
      </c>
      <c r="C75">
        <v>90</v>
      </c>
      <c r="D75">
        <v>3915</v>
      </c>
      <c r="E75">
        <v>8729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309630.70533333329</v>
      </c>
      <c r="C76">
        <v>307416.73233333335</v>
      </c>
      <c r="D76">
        <v>213322.87983333331</v>
      </c>
      <c r="E76">
        <v>94899.924033333329</v>
      </c>
      <c r="F76">
        <v>94137.333333333328</v>
      </c>
      <c r="G76">
        <v>94137.333333333328</v>
      </c>
      <c r="H76">
        <v>94137.333333333328</v>
      </c>
    </row>
    <row r="77" spans="1:8" x14ac:dyDescent="0.35">
      <c r="A77" s="12" t="s">
        <v>45</v>
      </c>
      <c r="E77">
        <v>43.31354630968297</v>
      </c>
      <c r="F77">
        <v>3.2149975122554042</v>
      </c>
      <c r="G77">
        <v>2.2327891279006966</v>
      </c>
      <c r="H77">
        <v>2.1554371207241751</v>
      </c>
    </row>
    <row r="78" spans="1:8" x14ac:dyDescent="0.35">
      <c r="A78" t="s">
        <v>61</v>
      </c>
      <c r="B78">
        <v>2920000</v>
      </c>
      <c r="C78">
        <v>2890900</v>
      </c>
      <c r="D78">
        <v>1654150</v>
      </c>
      <c r="E78">
        <v>97623.333333333328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 s="10">
        <v>1.333333333333333</v>
      </c>
      <c r="C79" s="10">
        <v>1.3300114155251139</v>
      </c>
      <c r="D79" s="10">
        <v>1.188829908675799</v>
      </c>
      <c r="E79" s="10">
        <v>1.0111442161339419</v>
      </c>
      <c r="F79" s="10">
        <v>1.01</v>
      </c>
      <c r="G79" s="10">
        <v>1.01</v>
      </c>
      <c r="H79" s="10">
        <v>1.01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A7C1-E9E2-406F-AD0F-9950A5477F20}">
  <dimension ref="A1:H79"/>
  <sheetViews>
    <sheetView topLeftCell="B71" workbookViewId="0">
      <selection activeCell="J75" sqref="J75:U81"/>
    </sheetView>
  </sheetViews>
  <sheetFormatPr defaultRowHeight="14.5" x14ac:dyDescent="0.35"/>
  <cols>
    <col min="1" max="1" width="74.453125" customWidth="1"/>
  </cols>
  <sheetData>
    <row r="1" spans="1:8" x14ac:dyDescent="0.35">
      <c r="A1" t="s">
        <v>0</v>
      </c>
    </row>
    <row r="2" spans="1:8" x14ac:dyDescent="0.35">
      <c r="A2" s="1" t="s">
        <v>1</v>
      </c>
    </row>
    <row r="3" spans="1:8" x14ac:dyDescent="0.35">
      <c r="A3" t="s">
        <v>0</v>
      </c>
    </row>
    <row r="4" spans="1:8" x14ac:dyDescent="0.35">
      <c r="A4" s="2"/>
    </row>
    <row r="6" spans="1:8" x14ac:dyDescent="0.35">
      <c r="A6" s="3" t="s">
        <v>2</v>
      </c>
    </row>
    <row r="7" spans="1:8" x14ac:dyDescent="0.35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5">
      <c r="A8" s="12" t="s">
        <v>5</v>
      </c>
      <c r="B8" s="10">
        <v>30</v>
      </c>
      <c r="C8" s="10">
        <v>35</v>
      </c>
      <c r="D8" s="10">
        <v>40</v>
      </c>
      <c r="E8" s="10">
        <v>45</v>
      </c>
      <c r="F8" s="10">
        <v>50</v>
      </c>
      <c r="G8" s="10">
        <v>55</v>
      </c>
      <c r="H8" s="10">
        <v>60</v>
      </c>
    </row>
    <row r="9" spans="1:8" x14ac:dyDescent="0.35">
      <c r="A9" s="12" t="s">
        <v>6</v>
      </c>
      <c r="B9" s="10">
        <v>18</v>
      </c>
      <c r="C9" s="10">
        <v>23</v>
      </c>
      <c r="D9" s="10">
        <v>28</v>
      </c>
      <c r="E9" s="10">
        <v>33</v>
      </c>
      <c r="F9" s="10">
        <v>38</v>
      </c>
      <c r="G9" s="10">
        <v>43</v>
      </c>
      <c r="H9" s="10">
        <v>48</v>
      </c>
    </row>
    <row r="10" spans="1:8" x14ac:dyDescent="0.35">
      <c r="A10" s="12" t="s">
        <v>7</v>
      </c>
      <c r="B10" s="10">
        <v>0.2</v>
      </c>
      <c r="C10" s="10">
        <v>0.2</v>
      </c>
      <c r="D10" s="10">
        <v>0.2</v>
      </c>
      <c r="E10" s="10">
        <v>0.2</v>
      </c>
      <c r="F10" s="10">
        <v>0.2</v>
      </c>
      <c r="G10" s="10">
        <v>0.2</v>
      </c>
      <c r="H10" s="10">
        <v>0.2</v>
      </c>
    </row>
    <row r="11" spans="1:8" x14ac:dyDescent="0.35">
      <c r="A11" t="s">
        <v>8</v>
      </c>
      <c r="B11">
        <v>500000</v>
      </c>
      <c r="C11">
        <v>500000</v>
      </c>
      <c r="D11">
        <v>500000</v>
      </c>
      <c r="E11">
        <v>500000</v>
      </c>
      <c r="F11">
        <v>500000</v>
      </c>
      <c r="G11">
        <v>500000</v>
      </c>
      <c r="H11">
        <v>500000</v>
      </c>
    </row>
    <row r="12" spans="1:8" x14ac:dyDescent="0.35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5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5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5">
      <c r="A16" s="13" t="s">
        <v>12</v>
      </c>
    </row>
    <row r="17" spans="1:8" x14ac:dyDescent="0.35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5">
      <c r="A18" t="s">
        <v>13</v>
      </c>
      <c r="B18">
        <v>80.228571428571428</v>
      </c>
      <c r="C18">
        <v>80.228571428571428</v>
      </c>
      <c r="D18">
        <v>80.228571428571428</v>
      </c>
      <c r="E18">
        <v>80.228571428571428</v>
      </c>
      <c r="F18">
        <v>80.228571428571428</v>
      </c>
      <c r="G18">
        <v>80.228571428571428</v>
      </c>
      <c r="H18">
        <v>80.228571428571428</v>
      </c>
    </row>
    <row r="19" spans="1:8" x14ac:dyDescent="0.35">
      <c r="A19" t="s">
        <v>14</v>
      </c>
      <c r="B19">
        <v>4.0935040000000003</v>
      </c>
      <c r="C19">
        <v>4.0935040000000003</v>
      </c>
      <c r="D19">
        <v>4.0935040000000003</v>
      </c>
      <c r="E19">
        <v>4.0935040000000003</v>
      </c>
      <c r="F19">
        <v>4.0935040000000003</v>
      </c>
      <c r="G19">
        <v>4.0935040000000003</v>
      </c>
      <c r="H19">
        <v>4.0935040000000003</v>
      </c>
    </row>
    <row r="20" spans="1:8" x14ac:dyDescent="0.35">
      <c r="A20" t="s">
        <v>15</v>
      </c>
      <c r="B20">
        <v>4.3435040000000003</v>
      </c>
      <c r="C20">
        <v>4.3435040000000003</v>
      </c>
      <c r="D20">
        <v>4.3435040000000003</v>
      </c>
      <c r="E20">
        <v>4.3435040000000003</v>
      </c>
      <c r="F20">
        <v>4.3435040000000003</v>
      </c>
      <c r="G20">
        <v>4.3435040000000003</v>
      </c>
      <c r="H20">
        <v>4.3435040000000003</v>
      </c>
    </row>
    <row r="21" spans="1:8" x14ac:dyDescent="0.35">
      <c r="A21" s="12" t="s">
        <v>16</v>
      </c>
      <c r="B21" s="10">
        <v>0</v>
      </c>
      <c r="C21" s="10">
        <v>0</v>
      </c>
      <c r="D21" s="10">
        <v>8.6870080000000005</v>
      </c>
      <c r="E21" s="10">
        <v>11323.514928000621</v>
      </c>
      <c r="F21" s="10">
        <v>37762.423775998832</v>
      </c>
      <c r="G21" s="10">
        <v>38049.095039998618</v>
      </c>
      <c r="H21" s="10">
        <v>38049.095039998618</v>
      </c>
    </row>
    <row r="22" spans="1:8" x14ac:dyDescent="0.35">
      <c r="A22" t="s">
        <v>17</v>
      </c>
      <c r="B22">
        <v>9.5</v>
      </c>
      <c r="C22">
        <v>14.5</v>
      </c>
      <c r="D22">
        <v>19.5</v>
      </c>
      <c r="E22">
        <v>24.5</v>
      </c>
      <c r="F22">
        <v>29.5</v>
      </c>
      <c r="G22">
        <v>34.5</v>
      </c>
      <c r="H22">
        <v>39.5</v>
      </c>
    </row>
    <row r="23" spans="1:8" x14ac:dyDescent="0.35">
      <c r="A23" t="s">
        <v>18</v>
      </c>
      <c r="B23">
        <v>12.5</v>
      </c>
      <c r="C23">
        <v>17.5</v>
      </c>
      <c r="D23">
        <v>22.5</v>
      </c>
      <c r="E23">
        <v>27.5</v>
      </c>
      <c r="F23">
        <v>32.5</v>
      </c>
      <c r="G23">
        <v>37.5</v>
      </c>
      <c r="H23">
        <v>42.5</v>
      </c>
    </row>
    <row r="24" spans="1:8" x14ac:dyDescent="0.35">
      <c r="A24" t="s">
        <v>19</v>
      </c>
      <c r="B24">
        <v>23.5</v>
      </c>
      <c r="C24">
        <v>28.5</v>
      </c>
      <c r="D24">
        <v>33.5</v>
      </c>
      <c r="E24">
        <v>38.5</v>
      </c>
      <c r="F24">
        <v>43.5</v>
      </c>
      <c r="G24">
        <v>48.5</v>
      </c>
      <c r="H24">
        <v>53.5</v>
      </c>
    </row>
    <row r="25" spans="1:8" x14ac:dyDescent="0.35">
      <c r="A25" t="s">
        <v>20</v>
      </c>
      <c r="B25">
        <v>0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</row>
    <row r="26" spans="1:8" x14ac:dyDescent="0.35">
      <c r="A26" t="s">
        <v>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12" t="s">
        <v>22</v>
      </c>
      <c r="B27" s="10">
        <v>8760</v>
      </c>
      <c r="C27" s="10">
        <v>8760</v>
      </c>
      <c r="D27" s="10">
        <v>8758</v>
      </c>
      <c r="E27" s="10">
        <v>6089</v>
      </c>
      <c r="F27" s="10">
        <v>56</v>
      </c>
      <c r="G27" s="10">
        <v>0</v>
      </c>
      <c r="H27" s="10">
        <v>0</v>
      </c>
    </row>
    <row r="28" spans="1:8" x14ac:dyDescent="0.35">
      <c r="A28" t="s">
        <v>23</v>
      </c>
      <c r="B28">
        <v>0</v>
      </c>
      <c r="C28">
        <v>0</v>
      </c>
      <c r="D28">
        <v>0</v>
      </c>
      <c r="E28">
        <v>64</v>
      </c>
      <c r="F28">
        <v>10</v>
      </c>
      <c r="G28">
        <v>0</v>
      </c>
      <c r="H28">
        <v>0</v>
      </c>
    </row>
    <row r="29" spans="1:8" x14ac:dyDescent="0.35">
      <c r="A29" s="12" t="s">
        <v>24</v>
      </c>
      <c r="B29" s="10">
        <v>8760</v>
      </c>
      <c r="C29" s="10">
        <v>8760</v>
      </c>
      <c r="D29" s="10">
        <v>8758</v>
      </c>
      <c r="E29" s="10">
        <v>6153</v>
      </c>
      <c r="F29" s="10">
        <v>66</v>
      </c>
      <c r="G29" s="10">
        <v>0</v>
      </c>
      <c r="H29" s="10">
        <v>0</v>
      </c>
    </row>
    <row r="30" spans="1:8" x14ac:dyDescent="0.35">
      <c r="A30" s="12" t="s">
        <v>25</v>
      </c>
      <c r="B30" s="10">
        <v>0</v>
      </c>
      <c r="C30" s="10">
        <v>0</v>
      </c>
      <c r="D30" s="10">
        <v>2.2831050228310501E-2</v>
      </c>
      <c r="E30" s="10">
        <v>29.760273972602739</v>
      </c>
      <c r="F30" s="10">
        <v>99.246575342465746</v>
      </c>
      <c r="G30" s="10">
        <v>100</v>
      </c>
      <c r="H30" s="10">
        <v>100</v>
      </c>
    </row>
    <row r="32" spans="1:8" x14ac:dyDescent="0.35">
      <c r="A32" s="13" t="s">
        <v>26</v>
      </c>
    </row>
    <row r="33" spans="1:8" x14ac:dyDescent="0.35">
      <c r="A33" t="s">
        <v>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</row>
    <row r="34" spans="1:8" x14ac:dyDescent="0.35">
      <c r="A34" t="s">
        <v>27</v>
      </c>
      <c r="B34">
        <v>0</v>
      </c>
      <c r="C34">
        <v>0</v>
      </c>
      <c r="D34">
        <v>2.5714285714285712</v>
      </c>
      <c r="E34">
        <v>3351.8571428571422</v>
      </c>
      <c r="F34">
        <v>11178</v>
      </c>
      <c r="G34">
        <v>11262.857142857139</v>
      </c>
      <c r="H34">
        <v>11262.857142857139</v>
      </c>
    </row>
    <row r="35" spans="1:8" x14ac:dyDescent="0.35">
      <c r="A35" t="s">
        <v>28</v>
      </c>
      <c r="B35">
        <v>0</v>
      </c>
      <c r="C35">
        <v>0</v>
      </c>
      <c r="D35">
        <v>1.8257142857142861</v>
      </c>
      <c r="E35">
        <v>890.69142857143345</v>
      </c>
      <c r="F35">
        <v>1699.688571428632</v>
      </c>
      <c r="G35">
        <v>73.800000000000097</v>
      </c>
      <c r="H35">
        <v>0</v>
      </c>
    </row>
    <row r="36" spans="1:8" x14ac:dyDescent="0.35">
      <c r="A36" t="s">
        <v>29</v>
      </c>
      <c r="B36">
        <v>0</v>
      </c>
      <c r="C36">
        <v>0</v>
      </c>
      <c r="D36">
        <v>0</v>
      </c>
      <c r="E36">
        <v>4.8979591836735392E-2</v>
      </c>
      <c r="F36">
        <v>0</v>
      </c>
      <c r="G36">
        <v>0</v>
      </c>
      <c r="H36">
        <v>0</v>
      </c>
    </row>
    <row r="37" spans="1:8" x14ac:dyDescent="0.35">
      <c r="A37" s="12" t="s">
        <v>30</v>
      </c>
      <c r="B37" s="10">
        <v>0</v>
      </c>
      <c r="C37" s="10">
        <v>0</v>
      </c>
      <c r="D37" s="10">
        <v>0.74571428571428566</v>
      </c>
      <c r="E37" s="10">
        <v>2461.1167346938719</v>
      </c>
      <c r="F37" s="10">
        <v>9478.3114285713655</v>
      </c>
      <c r="G37" s="10">
        <v>11189.05714285714</v>
      </c>
      <c r="H37" s="10">
        <v>11262.857142857139</v>
      </c>
    </row>
    <row r="39" spans="1:8" x14ac:dyDescent="0.35">
      <c r="A39" s="13" t="s">
        <v>31</v>
      </c>
    </row>
    <row r="40" spans="1:8" x14ac:dyDescent="0.3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x14ac:dyDescent="0.35">
      <c r="A41" t="s">
        <v>32</v>
      </c>
      <c r="B41">
        <v>13</v>
      </c>
      <c r="C41">
        <v>18</v>
      </c>
      <c r="D41">
        <v>23</v>
      </c>
      <c r="E41">
        <v>28</v>
      </c>
      <c r="F41">
        <v>33</v>
      </c>
      <c r="G41">
        <v>38</v>
      </c>
      <c r="H41">
        <v>43</v>
      </c>
    </row>
    <row r="42" spans="1:8" x14ac:dyDescent="0.35">
      <c r="A42" t="s">
        <v>33</v>
      </c>
      <c r="B42">
        <v>0</v>
      </c>
      <c r="C42">
        <v>0</v>
      </c>
      <c r="D42">
        <v>92</v>
      </c>
      <c r="E42">
        <v>5921</v>
      </c>
      <c r="F42">
        <v>8740</v>
      </c>
      <c r="G42">
        <v>8760</v>
      </c>
      <c r="H42">
        <v>8760</v>
      </c>
    </row>
    <row r="43" spans="1:8" x14ac:dyDescent="0.35">
      <c r="A43" t="s">
        <v>34</v>
      </c>
      <c r="B43">
        <v>8760</v>
      </c>
      <c r="C43">
        <v>8760</v>
      </c>
      <c r="D43">
        <v>8668</v>
      </c>
      <c r="E43">
        <v>2839</v>
      </c>
      <c r="F43">
        <v>20</v>
      </c>
      <c r="G43">
        <v>0</v>
      </c>
      <c r="H43">
        <v>0</v>
      </c>
    </row>
    <row r="44" spans="1:8" x14ac:dyDescent="0.35">
      <c r="A44" t="s">
        <v>35</v>
      </c>
      <c r="B44">
        <v>584000.00000002631</v>
      </c>
      <c r="C44">
        <v>584000.00000002631</v>
      </c>
      <c r="D44">
        <v>578694.66666669596</v>
      </c>
      <c r="E44">
        <v>242555.6666666574</v>
      </c>
      <c r="F44">
        <v>79993.333333333358</v>
      </c>
      <c r="G44">
        <v>78840</v>
      </c>
      <c r="H44">
        <v>78840</v>
      </c>
    </row>
    <row r="45" spans="1:8" x14ac:dyDescent="0.35">
      <c r="A45" s="12" t="s">
        <v>36</v>
      </c>
      <c r="B45" s="10">
        <v>661166.66666666674</v>
      </c>
      <c r="C45" s="10">
        <v>661166.66666666674</v>
      </c>
      <c r="D45" s="10">
        <v>661053.33333333349</v>
      </c>
      <c r="E45" s="10">
        <v>513436.66666666669</v>
      </c>
      <c r="F45" s="10">
        <v>168506.66666666669</v>
      </c>
      <c r="G45" s="10">
        <v>164766.66666666669</v>
      </c>
      <c r="H45" s="10">
        <v>164766.66666666669</v>
      </c>
    </row>
    <row r="46" spans="1:8" x14ac:dyDescent="0.35">
      <c r="A46" s="12" t="s">
        <v>37</v>
      </c>
      <c r="B46" s="10">
        <v>617833.33333335968</v>
      </c>
      <c r="C46" s="10">
        <v>617833.33333335968</v>
      </c>
      <c r="D46" s="10">
        <v>621194.66666669596</v>
      </c>
      <c r="E46" s="10">
        <v>285055.66666665737</v>
      </c>
      <c r="F46" s="10">
        <v>122493.3333333334</v>
      </c>
      <c r="G46" s="10">
        <v>87506.666666666672</v>
      </c>
      <c r="H46" s="10">
        <v>87506.666666666672</v>
      </c>
    </row>
    <row r="47" spans="1:8" x14ac:dyDescent="0.35">
      <c r="A47" s="12" t="s">
        <v>38</v>
      </c>
      <c r="B47" s="10">
        <v>617833.33333333337</v>
      </c>
      <c r="C47" s="10">
        <v>617833.33333333337</v>
      </c>
      <c r="D47" s="10">
        <v>617833.33333333337</v>
      </c>
      <c r="E47" s="10">
        <v>617833.33333333337</v>
      </c>
      <c r="F47" s="10">
        <v>617833.33333333337</v>
      </c>
      <c r="G47" s="10">
        <v>617833.33333333337</v>
      </c>
      <c r="H47" s="10">
        <v>617833.33333333337</v>
      </c>
    </row>
    <row r="49" spans="1:8" x14ac:dyDescent="0.35">
      <c r="A49" s="13" t="s">
        <v>39</v>
      </c>
    </row>
    <row r="50" spans="1:8" x14ac:dyDescent="0.35">
      <c r="A50" t="s">
        <v>3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</row>
    <row r="51" spans="1:8" x14ac:dyDescent="0.35">
      <c r="A51" t="s">
        <v>40</v>
      </c>
      <c r="B51">
        <v>43333.333333333343</v>
      </c>
      <c r="C51">
        <v>43333.333333333343</v>
      </c>
      <c r="D51">
        <v>43353.333333333343</v>
      </c>
      <c r="E51">
        <v>69403.333333333343</v>
      </c>
      <c r="F51">
        <v>130273.3333333333</v>
      </c>
      <c r="G51">
        <v>130933.3333333333</v>
      </c>
      <c r="H51">
        <v>130933.3333333333</v>
      </c>
    </row>
    <row r="52" spans="1:8" x14ac:dyDescent="0.35">
      <c r="A52" t="s">
        <v>41</v>
      </c>
      <c r="B52">
        <v>43333.333333307062</v>
      </c>
      <c r="C52">
        <v>43333.333333307062</v>
      </c>
      <c r="D52">
        <v>39858.666666637517</v>
      </c>
      <c r="E52">
        <v>228381.00000000931</v>
      </c>
      <c r="F52">
        <v>46013.333333333328</v>
      </c>
      <c r="G52">
        <v>77260.000000000015</v>
      </c>
      <c r="H52">
        <v>77260.000000000015</v>
      </c>
    </row>
    <row r="53" spans="1:8" x14ac:dyDescent="0.35">
      <c r="A53" t="s">
        <v>42</v>
      </c>
      <c r="B53">
        <v>43333.333333333372</v>
      </c>
      <c r="C53">
        <v>43333.333333333372</v>
      </c>
      <c r="D53">
        <v>43220.000000000116</v>
      </c>
      <c r="E53">
        <v>-104396.6666666667</v>
      </c>
      <c r="F53">
        <v>-449326.66666666669</v>
      </c>
      <c r="G53">
        <v>-453066.66666666669</v>
      </c>
      <c r="H53">
        <v>-453066.66666666669</v>
      </c>
    </row>
    <row r="54" spans="1:8" x14ac:dyDescent="0.35">
      <c r="A54" t="s">
        <v>43</v>
      </c>
      <c r="B54">
        <v>0</v>
      </c>
      <c r="C54">
        <v>0</v>
      </c>
      <c r="D54">
        <v>16859.629629629631</v>
      </c>
      <c r="E54">
        <v>20.705934165849779</v>
      </c>
      <c r="F54">
        <v>11.654440269577149</v>
      </c>
      <c r="G54">
        <v>11.625232538474551</v>
      </c>
      <c r="H54">
        <v>11.625232538474551</v>
      </c>
    </row>
    <row r="55" spans="1:8" x14ac:dyDescent="0.35">
      <c r="A55" s="12" t="s">
        <v>44</v>
      </c>
      <c r="B55" s="10">
        <v>0</v>
      </c>
      <c r="C55" s="10">
        <v>0</v>
      </c>
      <c r="D55" s="10">
        <v>58136.65389527459</v>
      </c>
      <c r="E55" s="10">
        <v>28.199935563790358</v>
      </c>
      <c r="F55" s="10">
        <v>13.744360935497239</v>
      </c>
      <c r="G55" s="10">
        <v>11.7019094336218</v>
      </c>
      <c r="H55" s="10">
        <v>11.625232538474551</v>
      </c>
    </row>
    <row r="56" spans="1:8" x14ac:dyDescent="0.35">
      <c r="A56" s="12" t="s">
        <v>45</v>
      </c>
      <c r="B56" s="10">
        <v>0</v>
      </c>
      <c r="C56" s="10">
        <v>0</v>
      </c>
      <c r="D56" s="10">
        <v>53450.319284762969</v>
      </c>
      <c r="E56" s="10">
        <v>92.79567961184766</v>
      </c>
      <c r="F56" s="10">
        <v>4.8545918416049307</v>
      </c>
      <c r="G56" s="10">
        <v>6.9049607141671601</v>
      </c>
      <c r="H56" s="10">
        <v>6.8597158802638276</v>
      </c>
    </row>
    <row r="57" spans="1:8" x14ac:dyDescent="0.35">
      <c r="A57" s="12" t="s">
        <v>46</v>
      </c>
      <c r="B57" s="10">
        <v>0</v>
      </c>
      <c r="C57" s="10">
        <v>0</v>
      </c>
      <c r="D57" s="10">
        <v>57957.854406130427</v>
      </c>
      <c r="E57" s="10">
        <v>-42.418413232906701</v>
      </c>
      <c r="F57" s="10">
        <v>-47.405771592629783</v>
      </c>
      <c r="G57" s="10">
        <v>-40.491943233652613</v>
      </c>
      <c r="H57" s="10">
        <v>-40.226619313377313</v>
      </c>
    </row>
    <row r="59" spans="1:8" x14ac:dyDescent="0.35">
      <c r="A59" s="13" t="s">
        <v>47</v>
      </c>
    </row>
    <row r="60" spans="1:8" x14ac:dyDescent="0.35">
      <c r="A60" t="s">
        <v>3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</row>
    <row r="61" spans="1:8" x14ac:dyDescent="0.35">
      <c r="A61" t="s">
        <v>48</v>
      </c>
      <c r="B61">
        <v>2920000</v>
      </c>
      <c r="C61">
        <v>2920000</v>
      </c>
      <c r="D61">
        <v>2919433.333333333</v>
      </c>
      <c r="E61">
        <v>2181350</v>
      </c>
      <c r="F61">
        <v>456700</v>
      </c>
      <c r="G61">
        <v>438000</v>
      </c>
      <c r="H61">
        <v>438000</v>
      </c>
    </row>
    <row r="62" spans="1:8" x14ac:dyDescent="0.35">
      <c r="A62" t="s">
        <v>49</v>
      </c>
      <c r="B62">
        <v>2920000</v>
      </c>
      <c r="C62">
        <v>2920000</v>
      </c>
      <c r="D62">
        <v>2920000</v>
      </c>
      <c r="E62">
        <v>2920000</v>
      </c>
      <c r="F62">
        <v>2920000</v>
      </c>
      <c r="G62">
        <v>2920000</v>
      </c>
      <c r="H62">
        <v>2920000</v>
      </c>
    </row>
    <row r="63" spans="1:8" x14ac:dyDescent="0.35">
      <c r="A63" t="s">
        <v>50</v>
      </c>
      <c r="B63">
        <v>2920000</v>
      </c>
      <c r="C63">
        <v>2920000</v>
      </c>
      <c r="D63">
        <v>2893473.333333333</v>
      </c>
      <c r="E63">
        <v>1212778.333333333</v>
      </c>
      <c r="F63">
        <v>399966.66666666669</v>
      </c>
      <c r="G63">
        <v>394200</v>
      </c>
      <c r="H63">
        <v>394200</v>
      </c>
    </row>
    <row r="64" spans="1:8" x14ac:dyDescent="0.35">
      <c r="A64" s="12" t="s">
        <v>51</v>
      </c>
      <c r="B64" s="10">
        <v>1.333333333333333</v>
      </c>
      <c r="C64" s="10">
        <v>1.333333333333333</v>
      </c>
      <c r="D64" s="10">
        <v>1.3332686453576861</v>
      </c>
      <c r="E64" s="10">
        <v>1.249012557077626</v>
      </c>
      <c r="F64" s="10">
        <v>1.0521347031963471</v>
      </c>
      <c r="G64" s="10">
        <v>1.05</v>
      </c>
      <c r="H64" s="10">
        <v>1.05</v>
      </c>
    </row>
    <row r="65" spans="1:8" x14ac:dyDescent="0.35">
      <c r="A65" s="12" t="s">
        <v>52</v>
      </c>
      <c r="B65" s="10">
        <v>1.333333333333333</v>
      </c>
      <c r="C65" s="10">
        <v>1.333333333333333</v>
      </c>
      <c r="D65" s="10">
        <v>1.333333333333333</v>
      </c>
      <c r="E65" s="10">
        <v>1.333333333333333</v>
      </c>
      <c r="F65" s="10">
        <v>1.333333333333333</v>
      </c>
      <c r="G65" s="10">
        <v>1.333333333333333</v>
      </c>
      <c r="H65" s="10">
        <v>1.333333333333333</v>
      </c>
    </row>
    <row r="66" spans="1:8" x14ac:dyDescent="0.35">
      <c r="A66" s="12" t="s">
        <v>53</v>
      </c>
      <c r="B66" s="10">
        <v>1.333333333333333</v>
      </c>
      <c r="C66" s="10">
        <v>1.333333333333333</v>
      </c>
      <c r="D66" s="10">
        <v>1.3303051750380519</v>
      </c>
      <c r="E66" s="10">
        <v>1.1384450152207</v>
      </c>
      <c r="F66" s="10">
        <v>1.0456582952815829</v>
      </c>
      <c r="G66" s="10">
        <v>1.0449999999999999</v>
      </c>
      <c r="H66" s="10">
        <v>1.0449999999999999</v>
      </c>
    </row>
    <row r="67" spans="1:8" x14ac:dyDescent="0.35">
      <c r="A67" s="12" t="s">
        <v>54</v>
      </c>
      <c r="B67" s="8">
        <v>0</v>
      </c>
      <c r="C67" s="10">
        <v>0</v>
      </c>
      <c r="D67" s="10">
        <v>-8.5127201565557729E-5</v>
      </c>
      <c r="E67" s="8">
        <v>-0.28094939893765664</v>
      </c>
      <c r="F67" s="10">
        <v>-1.0819990215264117</v>
      </c>
      <c r="G67" s="8">
        <v>-1.2772896281800388</v>
      </c>
      <c r="H67" s="8">
        <v>-1.2857142857142854</v>
      </c>
    </row>
    <row r="68" spans="1:8" x14ac:dyDescent="0.35">
      <c r="A68" s="7" t="s">
        <v>55</v>
      </c>
      <c r="B68">
        <v>0.4</v>
      </c>
      <c r="C68" s="11">
        <v>0.4</v>
      </c>
      <c r="D68" s="11">
        <v>0.4</v>
      </c>
      <c r="E68">
        <v>0.4</v>
      </c>
      <c r="F68" s="11">
        <v>0.4</v>
      </c>
      <c r="G68">
        <v>0.4</v>
      </c>
      <c r="H68">
        <v>0.4</v>
      </c>
    </row>
    <row r="69" spans="1:8" x14ac:dyDescent="0.35">
      <c r="A69" s="7" t="s">
        <v>56</v>
      </c>
      <c r="B69">
        <v>0.8</v>
      </c>
      <c r="C69" s="11">
        <v>0.8</v>
      </c>
      <c r="D69" s="11">
        <v>0.8</v>
      </c>
      <c r="E69">
        <v>0.8</v>
      </c>
      <c r="F69" s="11">
        <v>0.8</v>
      </c>
      <c r="G69">
        <v>0.8</v>
      </c>
      <c r="H69">
        <v>0.8</v>
      </c>
    </row>
    <row r="70" spans="1:8" x14ac:dyDescent="0.35">
      <c r="A70" s="4" t="s">
        <v>57</v>
      </c>
      <c r="B70" s="8">
        <v>2336</v>
      </c>
      <c r="C70" s="10">
        <v>2336</v>
      </c>
      <c r="D70" s="10">
        <v>2335.5466666666666</v>
      </c>
      <c r="E70" s="8">
        <v>1745.08</v>
      </c>
      <c r="F70" s="10">
        <v>365.36</v>
      </c>
      <c r="G70" s="8">
        <v>350.4</v>
      </c>
      <c r="H70" s="8">
        <v>350.4</v>
      </c>
    </row>
    <row r="71" spans="1:8" x14ac:dyDescent="0.35">
      <c r="A71" s="4" t="s">
        <v>58</v>
      </c>
      <c r="B71" s="8">
        <v>1168</v>
      </c>
      <c r="C71" s="10">
        <v>1168</v>
      </c>
      <c r="D71" s="10">
        <v>1167.7733333333333</v>
      </c>
      <c r="E71" s="8">
        <v>872.54</v>
      </c>
      <c r="F71" s="10">
        <v>182.68</v>
      </c>
      <c r="G71" s="8">
        <v>175.2</v>
      </c>
      <c r="H71" s="8">
        <v>175.2</v>
      </c>
    </row>
    <row r="73" spans="1:8" x14ac:dyDescent="0.35">
      <c r="A73" s="14" t="s">
        <v>59</v>
      </c>
    </row>
    <row r="74" spans="1:8" x14ac:dyDescent="0.35">
      <c r="A74" t="s">
        <v>3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</row>
    <row r="75" spans="1:8" x14ac:dyDescent="0.35">
      <c r="A75" t="s">
        <v>60</v>
      </c>
      <c r="B75">
        <v>0</v>
      </c>
      <c r="C75">
        <v>1</v>
      </c>
      <c r="D75">
        <v>1424</v>
      </c>
      <c r="E75">
        <v>8652</v>
      </c>
      <c r="F75">
        <v>8760</v>
      </c>
      <c r="G75">
        <v>8760</v>
      </c>
      <c r="H75">
        <v>8760</v>
      </c>
    </row>
    <row r="76" spans="1:8" x14ac:dyDescent="0.35">
      <c r="A76" s="4" t="s">
        <v>37</v>
      </c>
      <c r="B76">
        <v>630827.4933333334</v>
      </c>
      <c r="C76">
        <v>630768.07733333332</v>
      </c>
      <c r="D76">
        <v>546219.10933333333</v>
      </c>
      <c r="E76">
        <v>116760.26133333333</v>
      </c>
      <c r="F76">
        <v>110343.33333333333</v>
      </c>
      <c r="G76">
        <v>110343.33333333333</v>
      </c>
      <c r="H76">
        <v>110343.33333333333</v>
      </c>
    </row>
    <row r="77" spans="1:8" x14ac:dyDescent="0.35">
      <c r="A77" s="12" t="s">
        <v>45</v>
      </c>
      <c r="E77">
        <v>161.17740363204442</v>
      </c>
      <c r="F77">
        <v>6.1364657377690879</v>
      </c>
      <c r="G77">
        <v>4.8639784959965171</v>
      </c>
      <c r="H77">
        <v>4.8321072213766314</v>
      </c>
    </row>
    <row r="78" spans="1:8" x14ac:dyDescent="0.35">
      <c r="A78" t="s">
        <v>61</v>
      </c>
      <c r="B78">
        <v>2920000</v>
      </c>
      <c r="C78">
        <v>2919676.666666667</v>
      </c>
      <c r="D78">
        <v>2459573.333333333</v>
      </c>
      <c r="E78">
        <v>122520</v>
      </c>
      <c r="F78">
        <v>87600</v>
      </c>
      <c r="G78">
        <v>87600</v>
      </c>
      <c r="H78">
        <v>87600</v>
      </c>
    </row>
    <row r="79" spans="1:8" x14ac:dyDescent="0.35">
      <c r="A79" s="12" t="s">
        <v>62</v>
      </c>
      <c r="B79" s="10">
        <v>1.333333333333333</v>
      </c>
      <c r="C79" s="10">
        <v>1.333296423135464</v>
      </c>
      <c r="D79" s="10">
        <v>1.2807732115677319</v>
      </c>
      <c r="E79" s="10">
        <v>1.0139863013698629</v>
      </c>
      <c r="F79" s="10">
        <v>1.01</v>
      </c>
      <c r="G79" s="10">
        <v>1.01</v>
      </c>
      <c r="H79" s="10">
        <v>1.01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FB09FCB658C9458FE74BAA909ACD6E" ma:contentTypeVersion="10" ma:contentTypeDescription="Create a new document." ma:contentTypeScope="" ma:versionID="911da65ac498d2119f979f4a923044a8">
  <xsd:schema xmlns:xsd="http://www.w3.org/2001/XMLSchema" xmlns:xs="http://www.w3.org/2001/XMLSchema" xmlns:p="http://schemas.microsoft.com/office/2006/metadata/properties" xmlns:ns1="http://schemas.microsoft.com/sharepoint/v3" xmlns:ns2="50009570-44a4-4bd7-a7e3-050cbebe9cee" targetNamespace="http://schemas.microsoft.com/office/2006/metadata/properties" ma:root="true" ma:fieldsID="3d9ba0f74f668618d12814d89b756f60" ns1:_="" ns2:_="">
    <xsd:import namespace="http://schemas.microsoft.com/sharepoint/v3"/>
    <xsd:import namespace="50009570-44a4-4bd7-a7e3-050cbebe9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09570-44a4-4bd7-a7e3-050cbebe9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436DF27-4723-41D0-89E5-EE8094F53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009570-44a4-4bd7-a7e3-050cbebe9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ADEAE1-5AD2-4304-961F-3D2C19BE0A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F94BC8-EEBE-40C8-858A-974A5463BC33}">
  <ds:schemaRefs>
    <ds:schemaRef ds:uri="50009570-44a4-4bd7-a7e3-050cbebe9cee"/>
    <ds:schemaRef ds:uri="http://schemas.microsoft.com/sharepoint/v3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Phoenix</vt:lpstr>
      <vt:lpstr>Chicago</vt:lpstr>
      <vt:lpstr>Houston</vt:lpstr>
      <vt:lpstr>Seattle</vt:lpstr>
      <vt:lpstr>Frankfurt</vt:lpstr>
      <vt:lpstr>Madrid</vt:lpstr>
      <vt:lpstr>London</vt:lpstr>
      <vt:lpstr>Stockholm</vt:lpstr>
      <vt:lpstr>Hyderabad</vt:lpstr>
      <vt:lpstr>Bengaluru</vt:lpstr>
      <vt:lpstr>Mumbai</vt:lpstr>
      <vt:lpstr>New Delhi</vt:lpstr>
      <vt:lpstr>Chennai</vt:lpstr>
      <vt:lpstr>Singapore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RISHABH</dc:creator>
  <cp:keywords/>
  <dc:description/>
  <cp:lastModifiedBy>Bharath Ramakrishnan</cp:lastModifiedBy>
  <cp:revision/>
  <dcterms:created xsi:type="dcterms:W3CDTF">2015-06-05T18:17:20Z</dcterms:created>
  <dcterms:modified xsi:type="dcterms:W3CDTF">2026-01-09T17:59:29Z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0x01010015FB09FCB658C9458FE74BAA909ACD6E</vt:lpwstr>
  </property>
</Properties>
</file>