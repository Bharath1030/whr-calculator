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icrosoft.sharepoint.com/teams/Trevi-Microsoft-WaterDesalinationwithWHR/Shared Documents/Draft Reports/Case 2/06022025 Revised Docs/"/>
    </mc:Choice>
  </mc:AlternateContent>
  <xr:revisionPtr revIDLastSave="2" documentId="13_ncr:1_{9A1774CE-2343-4AAA-B248-3F833FB8B42A}" xr6:coauthVersionLast="47" xr6:coauthVersionMax="47" xr10:uidLastSave="{7973DAC3-270B-44E7-AEBE-EF5036C403F4}"/>
  <bookViews>
    <workbookView xWindow="-110" yWindow="-110" windowWidth="25180" windowHeight="16140" activeTab="1" xr2:uid="{662D4107-8914-40B4-AED5-F42ABE8AF85F}"/>
  </bookViews>
  <sheets>
    <sheet name="Assumptions" sheetId="1" r:id="rId1"/>
    <sheet name="Seawater Report_SanDiego" sheetId="11" r:id="rId2"/>
    <sheet name="COP &amp; Temps SWFO" sheetId="7" r:id="rId3"/>
  </sheets>
  <definedNames>
    <definedName name="Capacity">#REF!</definedName>
    <definedName name="TCapac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7" l="1"/>
  <c r="B23" i="11"/>
  <c r="B18" i="11"/>
  <c r="B20" i="11" l="1"/>
  <c r="B10" i="11"/>
  <c r="V45" i="11" l="1"/>
  <c r="U45" i="11"/>
  <c r="T45" i="11"/>
  <c r="S45" i="11"/>
  <c r="R45" i="11"/>
  <c r="Q45" i="11"/>
  <c r="P45" i="11"/>
  <c r="O45" i="11"/>
  <c r="N45" i="11"/>
  <c r="M45" i="11"/>
  <c r="L45" i="11"/>
  <c r="K45" i="11"/>
  <c r="U37" i="11"/>
  <c r="T37" i="11"/>
  <c r="S37" i="11"/>
  <c r="R37" i="11"/>
  <c r="Q37" i="11"/>
  <c r="P37" i="11"/>
  <c r="O37" i="11"/>
  <c r="M37" i="11"/>
  <c r="L37" i="11"/>
  <c r="K37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B24" i="11"/>
  <c r="B22" i="11" l="1"/>
  <c r="B14" i="11"/>
  <c r="V37" i="11"/>
  <c r="N37" i="11"/>
  <c r="W37" i="11" l="1"/>
  <c r="B28" i="11"/>
  <c r="E34" i="11" s="1"/>
  <c r="B12" i="11" l="1"/>
  <c r="B26" i="11" s="1"/>
  <c r="C34" i="11" s="1"/>
  <c r="K15" i="7"/>
  <c r="K9" i="7"/>
  <c r="N15" i="7"/>
  <c r="L9" i="7" l="1"/>
  <c r="C11" i="7"/>
  <c r="F15" i="7"/>
  <c r="F13" i="7"/>
  <c r="G11" i="7"/>
  <c r="E7" i="7"/>
  <c r="M46" i="11" s="1"/>
  <c r="M48" i="11" s="1"/>
  <c r="E13" i="7"/>
  <c r="F7" i="7"/>
  <c r="G7" i="7"/>
  <c r="G13" i="7"/>
  <c r="L15" i="7"/>
  <c r="E11" i="7"/>
  <c r="F11" i="7"/>
  <c r="K7" i="7"/>
  <c r="S46" i="11" s="1"/>
  <c r="S48" i="11" s="1"/>
  <c r="K13" i="7"/>
  <c r="L7" i="7"/>
  <c r="T46" i="11" s="1"/>
  <c r="T48" i="11" s="1"/>
  <c r="L13" i="7"/>
  <c r="C9" i="7"/>
  <c r="C15" i="7"/>
  <c r="I7" i="7"/>
  <c r="D11" i="7"/>
  <c r="I13" i="7"/>
  <c r="S34" i="11"/>
  <c r="S36" i="11" s="1"/>
  <c r="T34" i="11"/>
  <c r="T36" i="11" s="1"/>
  <c r="D9" i="7"/>
  <c r="I11" i="7"/>
  <c r="D15" i="7"/>
  <c r="E9" i="7"/>
  <c r="K11" i="7"/>
  <c r="E15" i="7"/>
  <c r="F9" i="7"/>
  <c r="L11" i="7"/>
  <c r="C7" i="7"/>
  <c r="G9" i="7"/>
  <c r="C13" i="7"/>
  <c r="G15" i="7"/>
  <c r="D7" i="7"/>
  <c r="I9" i="7"/>
  <c r="D13" i="7"/>
  <c r="I15" i="7"/>
  <c r="H7" i="7"/>
  <c r="H9" i="7"/>
  <c r="H11" i="7"/>
  <c r="H13" i="7"/>
  <c r="H15" i="7"/>
  <c r="J7" i="7"/>
  <c r="J9" i="7"/>
  <c r="J11" i="7"/>
  <c r="J13" i="7"/>
  <c r="J15" i="7"/>
  <c r="M7" i="7"/>
  <c r="M9" i="7"/>
  <c r="M11" i="7"/>
  <c r="M13" i="7"/>
  <c r="M15" i="7"/>
  <c r="M24" i="7"/>
  <c r="N7" i="7"/>
  <c r="N9" i="7"/>
  <c r="N11" i="7"/>
  <c r="N13" i="7"/>
  <c r="N46" i="11" l="1"/>
  <c r="N48" i="11" s="1"/>
  <c r="N34" i="11"/>
  <c r="N36" i="11" s="1"/>
  <c r="O46" i="11"/>
  <c r="O48" i="11" s="1"/>
  <c r="O34" i="11"/>
  <c r="O36" i="11" s="1"/>
  <c r="M34" i="11"/>
  <c r="M36" i="11" s="1"/>
  <c r="P46" i="11"/>
  <c r="P48" i="11" s="1"/>
  <c r="P34" i="11"/>
  <c r="P36" i="11" s="1"/>
  <c r="U46" i="11"/>
  <c r="U48" i="11" s="1"/>
  <c r="U34" i="11"/>
  <c r="U36" i="11" s="1"/>
  <c r="V46" i="11"/>
  <c r="V48" i="11" s="1"/>
  <c r="V34" i="11"/>
  <c r="V36" i="11" s="1"/>
  <c r="P47" i="11"/>
  <c r="P49" i="11" s="1"/>
  <c r="O47" i="11"/>
  <c r="O49" i="11" s="1"/>
  <c r="K47" i="11"/>
  <c r="K49" i="11" s="1"/>
  <c r="N47" i="11"/>
  <c r="N49" i="11" s="1"/>
  <c r="M47" i="11"/>
  <c r="M49" i="11" s="1"/>
  <c r="T47" i="11"/>
  <c r="T49" i="11" s="1"/>
  <c r="L47" i="11"/>
  <c r="L49" i="11" s="1"/>
  <c r="V47" i="11"/>
  <c r="V49" i="11" s="1"/>
  <c r="U47" i="11"/>
  <c r="U49" i="11" s="1"/>
  <c r="Q47" i="11"/>
  <c r="Q49" i="11" s="1"/>
  <c r="S47" i="11"/>
  <c r="S49" i="11" s="1"/>
  <c r="R47" i="11"/>
  <c r="R49" i="11" s="1"/>
  <c r="K46" i="11"/>
  <c r="K48" i="11" s="1"/>
  <c r="K34" i="11"/>
  <c r="K36" i="11" s="1"/>
  <c r="L46" i="11"/>
  <c r="L48" i="11" s="1"/>
  <c r="L34" i="11"/>
  <c r="L36" i="11" s="1"/>
  <c r="Q34" i="11"/>
  <c r="Q36" i="11" s="1"/>
  <c r="Q46" i="11"/>
  <c r="Q48" i="11" s="1"/>
  <c r="R34" i="11"/>
  <c r="R36" i="11" s="1"/>
  <c r="R46" i="11"/>
  <c r="R48" i="11" s="1"/>
  <c r="W49" i="11" l="1"/>
  <c r="B13" i="11" s="1"/>
  <c r="B27" i="11" s="1"/>
  <c r="D34" i="11" s="1"/>
  <c r="W36" i="11"/>
  <c r="B11" i="11" s="1"/>
  <c r="W48" i="11"/>
  <c r="B25" i="11" l="1"/>
  <c r="B34" i="1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<sst xmlns="http://schemas.openxmlformats.org/spreadsheetml/2006/main" count="225" uniqueCount="162">
  <si>
    <t>Parameter</t>
  </si>
  <si>
    <t>Value</t>
  </si>
  <si>
    <t>unit</t>
  </si>
  <si>
    <t>Reference</t>
  </si>
  <si>
    <t>Electricity Cost</t>
  </si>
  <si>
    <t>$/kWhe</t>
  </si>
  <si>
    <t>MSC value supplied</t>
  </si>
  <si>
    <t>COP Brackish</t>
  </si>
  <si>
    <t>Typical HP used for cooling using air sourced HP, mfg quote</t>
  </si>
  <si>
    <t>COP Seawater</t>
  </si>
  <si>
    <t>Typical HP with seawter cooling (liquid), mfg quote</t>
  </si>
  <si>
    <t>COP Produced</t>
  </si>
  <si>
    <t>Typical HP used for cooling using air sourced Heat pump, HT quote</t>
  </si>
  <si>
    <t>Brackish Feed Salinity</t>
  </si>
  <si>
    <t>mg/l</t>
  </si>
  <si>
    <t>Typical range 2-10k</t>
  </si>
  <si>
    <t>Brackish brine Salinity</t>
  </si>
  <si>
    <t>Assumes MLD design</t>
  </si>
  <si>
    <t>Seawater Feed Salinity</t>
  </si>
  <si>
    <t>Typically 36-40k</t>
  </si>
  <si>
    <t>Seawater brine Salinity</t>
  </si>
  <si>
    <t>Assumes ocean discharge, 65% recovery</t>
  </si>
  <si>
    <t>Produced Water Feed</t>
  </si>
  <si>
    <t>Typical in Permean basin</t>
  </si>
  <si>
    <t>Produced Water brine</t>
  </si>
  <si>
    <t>Requested recovery 50%</t>
  </si>
  <si>
    <t>Plant Availability</t>
  </si>
  <si>
    <t>%</t>
  </si>
  <si>
    <t>S/B &gt;95%</t>
  </si>
  <si>
    <t>Interest Rate</t>
  </si>
  <si>
    <t>Project Finance rate assumption</t>
  </si>
  <si>
    <t>Plant Life</t>
  </si>
  <si>
    <t>years</t>
  </si>
  <si>
    <t xml:space="preserve">Typical for brackish and seawater, 10yrs for oil and gas </t>
  </si>
  <si>
    <t>Heat Pump Capex</t>
  </si>
  <si>
    <t>$/kWhth</t>
  </si>
  <si>
    <t>From table in Text, IEA Conf. Proc.</t>
  </si>
  <si>
    <t>FO Electricicty (MLD)</t>
  </si>
  <si>
    <t>kWh/m3</t>
  </si>
  <si>
    <t>From PFD Tab</t>
  </si>
  <si>
    <t>FO Thermal brackish&amp; Sea</t>
  </si>
  <si>
    <t>From PFD tab</t>
  </si>
  <si>
    <t>FO Thermal, Produced</t>
  </si>
  <si>
    <t>RO Electrical (MLD brackish)</t>
  </si>
  <si>
    <t>From GWI refernce in Workbook</t>
  </si>
  <si>
    <t>UPRO Electrical (Sea)</t>
  </si>
  <si>
    <t>RO Electrical (O&amp;G)</t>
  </si>
  <si>
    <t>Variable</t>
  </si>
  <si>
    <t>Unit</t>
  </si>
  <si>
    <t>DC Cooling Req</t>
  </si>
  <si>
    <t>MW</t>
  </si>
  <si>
    <t>Design Point</t>
  </si>
  <si>
    <t>DC Waste Heat Avail</t>
  </si>
  <si>
    <t>From Quote by HP mfg.</t>
  </si>
  <si>
    <t>FO &amp; RO Plant Size</t>
  </si>
  <si>
    <t>m3/day</t>
  </si>
  <si>
    <t>Based on heat avail.</t>
  </si>
  <si>
    <t>FO Plant CAPEX</t>
  </si>
  <si>
    <t>Derived by Trevi</t>
  </si>
  <si>
    <t>FO Electrical Energy</t>
  </si>
  <si>
    <t>Assumption tab</t>
  </si>
  <si>
    <t xml:space="preserve">FO Thermal Energy </t>
  </si>
  <si>
    <t>COP  heat Pump with FO</t>
  </si>
  <si>
    <t>Calculated from lift and industry quote</t>
  </si>
  <si>
    <t>FO</t>
  </si>
  <si>
    <t>Annual Electricity cost</t>
  </si>
  <si>
    <t>Assumption tab &amp; Calculated</t>
  </si>
  <si>
    <t>Annual FO Thermal Energy Costs (No WH &amp; DC)</t>
  </si>
  <si>
    <t>Calculated from San Diego Table below</t>
  </si>
  <si>
    <t>Annual FO Thermal Energy Costs( 30C WH)</t>
  </si>
  <si>
    <t>Annual FO Thermal Energy Costs (45C WH)</t>
  </si>
  <si>
    <t>FO CAPEX</t>
  </si>
  <si>
    <t>Calculated</t>
  </si>
  <si>
    <t>Annual FO CAPEX Cost</t>
  </si>
  <si>
    <t>HEAT Pump CAPEX</t>
  </si>
  <si>
    <t>Annual HP CAPEX</t>
  </si>
  <si>
    <t>From Ref in Document</t>
  </si>
  <si>
    <t xml:space="preserve">Annual FO Plant OPEX Cost </t>
  </si>
  <si>
    <t>UHPRO</t>
  </si>
  <si>
    <t>Assumptions tab</t>
  </si>
  <si>
    <t>RO CAPEX Cost</t>
  </si>
  <si>
    <t>GWI databook</t>
  </si>
  <si>
    <t>Annual CAPEX Cost</t>
  </si>
  <si>
    <t xml:space="preserve">Annual OPEX Cost </t>
  </si>
  <si>
    <t>Recovery rate</t>
  </si>
  <si>
    <t>LCOW FO (no DC)</t>
  </si>
  <si>
    <t>/m3</t>
  </si>
  <si>
    <t>=Annualized (Electricity Cost + Thermal costs (no HP)+ FO CAPEX+FO OPEX+ HeatPump CAPEX)/1000</t>
  </si>
  <si>
    <t>LCOW FO (+ DCWH @30 deg C)</t>
  </si>
  <si>
    <t>=Annualized (Electricity Cost + Thermal costs (w HP @30 deg C)+ FO CAPEX+ OPEX+ HeatPump CAPEx)/1000</t>
  </si>
  <si>
    <t>LCOW FO (+ DCWH @45 degC + 33 DegC Ret)</t>
  </si>
  <si>
    <t>=Annualized (Electricity Cost + Thermal costs (w HP@ 45 deg C)+ FO CAPEX+ OPEX+ HeatPump CAPEX)/1000</t>
  </si>
  <si>
    <t>LCOW UHPRO</t>
  </si>
  <si>
    <t>=Annualized (RO Electricity Cost + RO CAPEX+ RO OPEX)/1000</t>
  </si>
  <si>
    <t>Heat Pump Savings with DC Waste heat vs sea water sourced HP ( 30C DC )</t>
  </si>
  <si>
    <t>Levelized Cost of Water - LCOW ($/m3)</t>
  </si>
  <si>
    <t>LCOW FO (No WH)</t>
  </si>
  <si>
    <t>LCOW (with DC WH)</t>
  </si>
  <si>
    <t>LCOW RO</t>
  </si>
  <si>
    <t>Location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</si>
  <si>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</si>
  <si>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</si>
  <si>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</si>
  <si>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</si>
  <si>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</si>
  <si>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</si>
  <si>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</si>
  <si>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</si>
  <si>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</si>
  <si>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</si>
  <si>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</si>
  <si>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</si>
  <si>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Annual Energy Used (MWH)</t>
  </si>
  <si>
    <t>Location                       /                      Temperature</t>
  </si>
  <si>
    <t>Ambient</t>
  </si>
  <si>
    <t>30C In + 18C Out</t>
  </si>
  <si>
    <t>45C In + 33C Out</t>
  </si>
  <si>
    <t>San Diego, CA</t>
  </si>
  <si>
    <t>Seawater COP</t>
  </si>
  <si>
    <t>Ref; ASHRAE, IAE, US DOE sources  - see Capex and opex calcs.</t>
  </si>
  <si>
    <t>COP of DC waste Heat (53% of Carnot cycle (water)</t>
  </si>
  <si>
    <t>Mfg data</t>
  </si>
  <si>
    <t>FO Energy No DC WH</t>
  </si>
  <si>
    <t>FO Energy w DC 30 deg C</t>
  </si>
  <si>
    <t>Heat Pump Savings with DC Waste heat vs seawater sourced HP (45C DC )</t>
  </si>
  <si>
    <t xml:space="preserve">San Diego, CA </t>
  </si>
  <si>
    <t xml:space="preserve">Sea Water HP COP </t>
  </si>
  <si>
    <t>DC Waste Heat COP</t>
  </si>
  <si>
    <t>Location Data - Monthly Average Seawater Temperature and COP calculations</t>
  </si>
  <si>
    <t>Jan</t>
  </si>
  <si>
    <t>Feb</t>
  </si>
  <si>
    <t>Mar</t>
  </si>
  <si>
    <t>May</t>
  </si>
  <si>
    <t>Jun</t>
  </si>
  <si>
    <t>Jul</t>
  </si>
  <si>
    <t>Sept</t>
  </si>
  <si>
    <t>Average Seawater temperature</t>
  </si>
  <si>
    <t>HP COP*</t>
  </si>
  <si>
    <t>calculated COP for 30C heat</t>
  </si>
  <si>
    <t>Miami, Fl</t>
  </si>
  <si>
    <t xml:space="preserve">HP COP* </t>
  </si>
  <si>
    <t>Corpus Christi, TX</t>
  </si>
  <si>
    <t>Virginia Beach, VA</t>
  </si>
  <si>
    <t>Honolulu, HI</t>
  </si>
  <si>
    <t>calculations:</t>
  </si>
  <si>
    <t>* COP calculated is ratio of COP (actual)/COP (datacenter)* COP of manufacturer:  COP  = Thot/(Thot-Tcold) (actual) / COP (datacenter) * COP manufacturer</t>
  </si>
  <si>
    <t>* ASHRAE D-CCC23-21.pdf</t>
  </si>
  <si>
    <t>Data Center Ideal Carnot COP @ 30C:</t>
  </si>
  <si>
    <r>
      <t xml:space="preserve">(273+ 79)/((273+79)- (273+24)) = </t>
    </r>
    <r>
      <rPr>
        <b/>
        <sz val="11"/>
        <color theme="1"/>
        <rFont val="Aptos Narrow"/>
        <family val="2"/>
        <scheme val="minor"/>
      </rPr>
      <t>6.4</t>
    </r>
  </si>
  <si>
    <t>79C = Avg Hot and 24C = Avg Cold @30C DC</t>
  </si>
  <si>
    <t>(30C+18C)/2=24C</t>
  </si>
  <si>
    <t>COP @30C</t>
  </si>
  <si>
    <t>Data Center Ideal Carnot COP @ 45C:</t>
  </si>
  <si>
    <t>COP @45C</t>
  </si>
  <si>
    <r>
      <t>(273+ 79)/((273+79)- (273+39)) =</t>
    </r>
    <r>
      <rPr>
        <b/>
        <sz val="11"/>
        <color theme="1"/>
        <rFont val="Aptos Narrow"/>
        <family val="2"/>
        <scheme val="minor"/>
      </rPr>
      <t xml:space="preserve"> 8.8</t>
    </r>
  </si>
  <si>
    <t>79C = Avg Hot and 31.5C = Avg Cold @45C DC</t>
  </si>
  <si>
    <t>(45C+33C)/2 = 39C</t>
  </si>
  <si>
    <t>Data Center Ambient Seawater COP</t>
  </si>
  <si>
    <t>(273+79)/((273+79)-(273+T))</t>
  </si>
  <si>
    <t>Use to calculate ambient seawater COP</t>
  </si>
  <si>
    <t>352/(352-(273+T))</t>
  </si>
  <si>
    <r>
      <t xml:space="preserve">Actual COP is then:: </t>
    </r>
    <r>
      <rPr>
        <b/>
        <sz val="11"/>
        <color theme="1"/>
        <rFont val="Aptos Narrow"/>
        <family val="2"/>
        <scheme val="minor"/>
      </rPr>
      <t xml:space="preserve"> COP(mfg)* COPambient (ideal carnot)/COP DC i(deal carnot)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</si>
</sst>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0.000"/>
    <numFmt numFmtId="167" formatCode="&quot;$&quot;#,##0.00"/>
    <numFmt numFmtId="168" formatCode="_(&quot;$&quot;* #,##0.000_);_(&quot;$&quot;* \(#,##0.0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1" fillId="2" borderId="0" xfId="3" applyAlignment="1">
      <alignment horizontal="center"/>
    </xf>
    <xf numFmtId="0" fontId="1" fillId="4" borderId="0" xfId="5" applyAlignment="1">
      <alignment horizontal="center"/>
    </xf>
    <xf numFmtId="0" fontId="0" fillId="5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6" borderId="0" xfId="0" applyFont="1" applyFill="1"/>
    <xf numFmtId="165" fontId="0" fillId="0" borderId="0" xfId="2" applyNumberFormat="1" applyFont="1"/>
    <xf numFmtId="165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7" fontId="0" fillId="0" borderId="1" xfId="1" applyNumberFormat="1" applyFont="1" applyBorder="1" applyAlignment="1">
      <alignment horizontal="center"/>
    </xf>
    <xf numFmtId="0" fontId="0" fillId="6" borderId="0" xfId="0" applyFill="1"/>
    <xf numFmtId="9" fontId="0" fillId="0" borderId="0" xfId="6" applyFont="1" applyAlignment="1">
      <alignment horizontal="center"/>
    </xf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0" fontId="0" fillId="6" borderId="0" xfId="0" applyFill="1" applyAlignment="1">
      <alignment horizontal="center"/>
    </xf>
    <xf numFmtId="0" fontId="2" fillId="8" borderId="0" xfId="0" applyFont="1" applyFill="1"/>
    <xf numFmtId="0" fontId="0" fillId="8" borderId="0" xfId="0" applyFill="1"/>
    <xf numFmtId="0" fontId="2" fillId="5" borderId="0" xfId="0" applyFont="1" applyFill="1"/>
    <xf numFmtId="44" fontId="0" fillId="0" borderId="0" xfId="0" applyNumberFormat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9" borderId="0" xfId="0" applyFill="1"/>
    <xf numFmtId="9" fontId="0" fillId="0" borderId="0" xfId="6" applyFont="1"/>
    <xf numFmtId="165" fontId="0" fillId="7" borderId="0" xfId="2" applyNumberFormat="1" applyFont="1" applyFill="1" applyAlignment="1">
      <alignment horizontal="center"/>
    </xf>
    <xf numFmtId="0" fontId="0" fillId="6" borderId="0" xfId="0" applyFill="1" applyAlignment="1">
      <alignment vertical="center" wrapText="1"/>
    </xf>
    <xf numFmtId="0" fontId="0" fillId="10" borderId="0" xfId="0" applyFill="1"/>
    <xf numFmtId="0" fontId="3" fillId="0" borderId="0" xfId="0" applyFont="1"/>
    <xf numFmtId="2" fontId="0" fillId="7" borderId="0" xfId="0" applyNumberFormat="1" applyFill="1" applyAlignment="1">
      <alignment vertical="center" wrapText="1"/>
    </xf>
    <xf numFmtId="164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9" borderId="0" xfId="0" applyFont="1" applyFill="1"/>
    <xf numFmtId="164" fontId="2" fillId="5" borderId="0" xfId="0" applyNumberFormat="1" applyFont="1" applyFill="1"/>
    <xf numFmtId="0" fontId="2" fillId="0" borderId="1" xfId="0" applyFont="1" applyBorder="1" applyAlignment="1">
      <alignment horizontal="center"/>
    </xf>
    <xf numFmtId="44" fontId="2" fillId="5" borderId="0" xfId="0" applyNumberFormat="1" applyFont="1" applyFill="1"/>
    <xf numFmtId="44" fontId="0" fillId="7" borderId="1" xfId="0" applyNumberFormat="1" applyFill="1" applyBorder="1" applyAlignment="1">
      <alignment horizontal="center"/>
    </xf>
    <xf numFmtId="0" fontId="1" fillId="0" borderId="0" xfId="4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65" fontId="0" fillId="0" borderId="0" xfId="2" applyNumberFormat="1" applyFont="1" applyFill="1"/>
    <xf numFmtId="1" fontId="0" fillId="0" borderId="0" xfId="0" applyNumberFormat="1"/>
    <xf numFmtId="0" fontId="1" fillId="0" borderId="0" xfId="5" applyFill="1" applyAlignment="1">
      <alignment horizontal="center"/>
    </xf>
    <xf numFmtId="4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167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44" fontId="2" fillId="0" borderId="0" xfId="0" applyNumberFormat="1" applyFont="1"/>
    <xf numFmtId="168" fontId="0" fillId="0" borderId="0" xfId="0" applyNumberFormat="1"/>
    <xf numFmtId="165" fontId="0" fillId="0" borderId="0" xfId="2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5" fontId="0" fillId="0" borderId="0" xfId="2" applyNumberFormat="1" applyFont="1" applyFill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8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9" fontId="0" fillId="0" borderId="0" xfId="6" applyFont="1" applyFill="1"/>
    <xf numFmtId="166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0" fillId="5" borderId="0" xfId="2" applyNumberFormat="1" applyFont="1" applyFill="1" applyAlignment="1">
      <alignment horizontal="center"/>
    </xf>
  </cellXfs>
  <cellStyles count="7">
    <cellStyle name="20% - Accent1" xfId="3" builtinId="30"/>
    <cellStyle name="20% - Accent2" xfId="4" builtinId="34"/>
    <cellStyle name="20% - Accent3" xfId="5" builtinId="38"/>
    <cellStyle name="Comma" xfId="1" builtinId="3"/>
    <cellStyle name="Currency" xfId="2" builtinId="4"/>
    <cellStyle name="Normal" xfId="0" builtinId="0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1363-3281-4A64-A38D-53CE006A6E4D}">
  <dimension ref="A1:D22"/>
  <sheetViews>
    <sheetView topLeftCell="A14" zoomScale="113" workbookViewId="0">
      <selection activeCell="C34" sqref="C34"/>
    </sheetView>
  </sheetViews>
  <sheetFormatPr defaultRowHeight="14.5" x14ac:dyDescent="0.35"/>
  <cols>
    <col min="1" max="1" width="20.81640625" customWidth="1"/>
    <col min="2" max="2" width="13.81640625" customWidth="1"/>
    <col min="4" max="4" width="46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35">
      <c r="A3" s="10" t="s">
        <v>4</v>
      </c>
      <c r="B3" s="11">
        <v>0.08</v>
      </c>
      <c r="C3" s="11" t="s">
        <v>5</v>
      </c>
      <c r="D3" t="s">
        <v>6</v>
      </c>
    </row>
    <row r="4" spans="1:4" x14ac:dyDescent="0.35">
      <c r="A4" s="26" t="s">
        <v>7</v>
      </c>
      <c r="B4" s="27">
        <v>3.5</v>
      </c>
      <c r="C4" s="11"/>
      <c r="D4" t="s">
        <v>8</v>
      </c>
    </row>
    <row r="5" spans="1:4" x14ac:dyDescent="0.35">
      <c r="A5" s="10" t="s">
        <v>9</v>
      </c>
      <c r="B5" s="11">
        <v>3.5</v>
      </c>
      <c r="C5" s="11"/>
      <c r="D5" t="s">
        <v>10</v>
      </c>
    </row>
    <row r="6" spans="1:4" x14ac:dyDescent="0.35">
      <c r="A6" s="10" t="s">
        <v>11</v>
      </c>
      <c r="B6" s="11">
        <v>3.2</v>
      </c>
      <c r="C6" s="11"/>
      <c r="D6" t="s">
        <v>12</v>
      </c>
    </row>
    <row r="7" spans="1:4" x14ac:dyDescent="0.35">
      <c r="A7" s="10" t="s">
        <v>13</v>
      </c>
      <c r="B7" s="13">
        <v>2000</v>
      </c>
      <c r="C7" s="11" t="s">
        <v>14</v>
      </c>
      <c r="D7" t="s">
        <v>15</v>
      </c>
    </row>
    <row r="8" spans="1:4" x14ac:dyDescent="0.35">
      <c r="A8" s="10" t="s">
        <v>16</v>
      </c>
      <c r="B8" s="12">
        <v>150000</v>
      </c>
      <c r="C8" s="11" t="s">
        <v>14</v>
      </c>
      <c r="D8" t="s">
        <v>17</v>
      </c>
    </row>
    <row r="9" spans="1:4" x14ac:dyDescent="0.35">
      <c r="A9" s="10" t="s">
        <v>18</v>
      </c>
      <c r="B9" s="12">
        <v>35000</v>
      </c>
      <c r="C9" s="11" t="s">
        <v>14</v>
      </c>
      <c r="D9" t="s">
        <v>19</v>
      </c>
    </row>
    <row r="10" spans="1:4" x14ac:dyDescent="0.35">
      <c r="A10" s="10" t="s">
        <v>20</v>
      </c>
      <c r="B10" s="12">
        <v>100000</v>
      </c>
      <c r="C10" s="11" t="s">
        <v>14</v>
      </c>
      <c r="D10" t="s">
        <v>21</v>
      </c>
    </row>
    <row r="11" spans="1:4" x14ac:dyDescent="0.35">
      <c r="A11" s="10" t="s">
        <v>22</v>
      </c>
      <c r="B11" s="12">
        <v>100000</v>
      </c>
      <c r="C11" s="11" t="s">
        <v>14</v>
      </c>
      <c r="D11" t="s">
        <v>23</v>
      </c>
    </row>
    <row r="12" spans="1:4" x14ac:dyDescent="0.35">
      <c r="A12" s="10" t="s">
        <v>24</v>
      </c>
      <c r="B12" s="12">
        <v>200000</v>
      </c>
      <c r="C12" s="11" t="s">
        <v>14</v>
      </c>
      <c r="D12" t="s">
        <v>25</v>
      </c>
    </row>
    <row r="13" spans="1:4" x14ac:dyDescent="0.35">
      <c r="A13" s="26" t="s">
        <v>26</v>
      </c>
      <c r="B13" s="27">
        <v>98</v>
      </c>
      <c r="C13" s="27" t="s">
        <v>27</v>
      </c>
      <c r="D13" s="28" t="s">
        <v>28</v>
      </c>
    </row>
    <row r="14" spans="1:4" x14ac:dyDescent="0.35">
      <c r="A14" s="10" t="s">
        <v>29</v>
      </c>
      <c r="B14" s="11">
        <v>6</v>
      </c>
      <c r="C14" s="11" t="s">
        <v>27</v>
      </c>
      <c r="D14" t="s">
        <v>30</v>
      </c>
    </row>
    <row r="15" spans="1:4" x14ac:dyDescent="0.35">
      <c r="A15" s="10" t="s">
        <v>31</v>
      </c>
      <c r="B15" s="11">
        <v>20</v>
      </c>
      <c r="C15" s="11" t="s">
        <v>32</v>
      </c>
      <c r="D15" t="s">
        <v>33</v>
      </c>
    </row>
    <row r="16" spans="1:4" x14ac:dyDescent="0.35">
      <c r="A16" s="10" t="s">
        <v>34</v>
      </c>
      <c r="B16" s="11">
        <v>250</v>
      </c>
      <c r="C16" s="11" t="s">
        <v>35</v>
      </c>
      <c r="D16" t="s">
        <v>36</v>
      </c>
    </row>
    <row r="17" spans="1:4" x14ac:dyDescent="0.35">
      <c r="A17" s="10" t="s">
        <v>37</v>
      </c>
      <c r="B17" s="11">
        <v>1.3</v>
      </c>
      <c r="C17" s="11" t="s">
        <v>38</v>
      </c>
      <c r="D17" t="s">
        <v>39</v>
      </c>
    </row>
    <row r="18" spans="1:4" x14ac:dyDescent="0.35">
      <c r="A18" s="10" t="s">
        <v>40</v>
      </c>
      <c r="B18" s="11">
        <v>35</v>
      </c>
      <c r="C18" s="11" t="s">
        <v>38</v>
      </c>
      <c r="D18" t="s">
        <v>41</v>
      </c>
    </row>
    <row r="19" spans="1:4" x14ac:dyDescent="0.35">
      <c r="A19" s="10" t="s">
        <v>42</v>
      </c>
      <c r="B19" s="11">
        <v>50</v>
      </c>
      <c r="C19" s="11" t="s">
        <v>38</v>
      </c>
      <c r="D19" t="s">
        <v>39</v>
      </c>
    </row>
    <row r="20" spans="1:4" x14ac:dyDescent="0.35">
      <c r="A20" s="10" t="s">
        <v>43</v>
      </c>
      <c r="B20" s="11">
        <v>12.5</v>
      </c>
      <c r="C20" s="11" t="s">
        <v>38</v>
      </c>
      <c r="D20" t="s">
        <v>44</v>
      </c>
    </row>
    <row r="21" spans="1:4" x14ac:dyDescent="0.35">
      <c r="A21" s="10" t="s">
        <v>45</v>
      </c>
      <c r="B21" s="11">
        <v>5.7</v>
      </c>
      <c r="C21" s="11" t="s">
        <v>38</v>
      </c>
      <c r="D21" t="s">
        <v>44</v>
      </c>
    </row>
    <row r="22" spans="1:4" x14ac:dyDescent="0.35">
      <c r="A22" s="10" t="s">
        <v>46</v>
      </c>
      <c r="B22" s="11">
        <v>23</v>
      </c>
      <c r="C22" s="11" t="s">
        <v>38</v>
      </c>
      <c r="D2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EAB4-F2FA-4B9E-A217-924E31B2814D}">
  <dimension ref="A1:Y170"/>
  <sheetViews>
    <sheetView tabSelected="1" zoomScale="115" zoomScaleNormal="115" workbookViewId="0">
      <selection activeCell="C34" sqref="C34"/>
    </sheetView>
  </sheetViews>
  <sheetFormatPr defaultRowHeight="14.5" x14ac:dyDescent="0.35"/>
  <cols>
    <col min="1" max="1" width="40.453125" customWidth="1"/>
    <col min="2" max="2" width="18.54296875" customWidth="1"/>
    <col min="3" max="3" width="25.81640625" customWidth="1"/>
    <col min="4" max="4" width="33.453125" customWidth="1"/>
    <col min="5" max="5" width="22" customWidth="1"/>
    <col min="6" max="6" width="10.54296875" customWidth="1"/>
    <col min="8" max="8" width="9.453125" bestFit="1" customWidth="1"/>
    <col min="9" max="9" width="15.1796875" customWidth="1"/>
    <col min="10" max="10" width="25.453125" customWidth="1"/>
    <col min="11" max="11" width="13.7265625" customWidth="1"/>
    <col min="12" max="12" width="11.453125" customWidth="1"/>
    <col min="23" max="23" width="9.26953125" customWidth="1"/>
    <col min="24" max="24" width="19.54296875" customWidth="1"/>
  </cols>
  <sheetData>
    <row r="1" spans="1:10" x14ac:dyDescent="0.35">
      <c r="A1" s="2" t="s">
        <v>47</v>
      </c>
      <c r="B1" s="2" t="s">
        <v>1</v>
      </c>
      <c r="C1" s="2" t="s">
        <v>48</v>
      </c>
      <c r="D1" s="2" t="s">
        <v>3</v>
      </c>
      <c r="E1" s="49"/>
    </row>
    <row r="2" spans="1:10" x14ac:dyDescent="0.35">
      <c r="A2" t="s">
        <v>49</v>
      </c>
      <c r="B2" s="3">
        <v>1</v>
      </c>
      <c r="C2" t="s">
        <v>50</v>
      </c>
      <c r="D2" t="s">
        <v>51</v>
      </c>
      <c r="G2" s="43"/>
      <c r="H2" s="44"/>
      <c r="I2" s="44"/>
      <c r="J2" s="16"/>
    </row>
    <row r="3" spans="1:10" x14ac:dyDescent="0.35">
      <c r="A3" t="s">
        <v>52</v>
      </c>
      <c r="B3" s="67">
        <v>1.4598540145985401</v>
      </c>
      <c r="C3" t="s">
        <v>50</v>
      </c>
      <c r="D3" t="s">
        <v>53</v>
      </c>
      <c r="G3" s="45"/>
      <c r="H3" s="45"/>
      <c r="I3" s="45"/>
    </row>
    <row r="4" spans="1:10" x14ac:dyDescent="0.35">
      <c r="A4" t="s">
        <v>54</v>
      </c>
      <c r="B4" s="68">
        <v>1000</v>
      </c>
      <c r="C4" t="s">
        <v>55</v>
      </c>
      <c r="D4" t="s">
        <v>56</v>
      </c>
      <c r="H4" s="46"/>
      <c r="I4" s="47"/>
    </row>
    <row r="5" spans="1:10" x14ac:dyDescent="0.35">
      <c r="A5" t="s">
        <v>57</v>
      </c>
      <c r="B5" s="69">
        <v>1651720.5422314911</v>
      </c>
      <c r="D5" t="s">
        <v>58</v>
      </c>
      <c r="I5" s="47"/>
    </row>
    <row r="6" spans="1:10" x14ac:dyDescent="0.35">
      <c r="A6" t="s">
        <v>59</v>
      </c>
      <c r="B6" s="3">
        <v>1.3</v>
      </c>
      <c r="C6" t="s">
        <v>38</v>
      </c>
      <c r="D6" t="s">
        <v>60</v>
      </c>
      <c r="H6" s="48"/>
      <c r="I6" s="47"/>
    </row>
    <row r="7" spans="1:10" x14ac:dyDescent="0.35">
      <c r="A7" t="s">
        <v>61</v>
      </c>
      <c r="B7" s="3">
        <v>35</v>
      </c>
      <c r="C7" t="s">
        <v>38</v>
      </c>
      <c r="D7" t="s">
        <v>60</v>
      </c>
      <c r="I7" s="47"/>
    </row>
    <row r="8" spans="1:10" x14ac:dyDescent="0.35">
      <c r="A8" t="s">
        <v>62</v>
      </c>
      <c r="B8" s="3">
        <v>3.5</v>
      </c>
      <c r="D8" t="s">
        <v>63</v>
      </c>
      <c r="I8" s="47"/>
    </row>
    <row r="9" spans="1:10" x14ac:dyDescent="0.35">
      <c r="A9" s="5" t="s">
        <v>64</v>
      </c>
      <c r="B9" s="21"/>
      <c r="C9" s="14"/>
      <c r="D9" s="14"/>
      <c r="G9" s="43"/>
      <c r="H9" s="44"/>
      <c r="I9" s="44"/>
      <c r="J9" s="16"/>
    </row>
    <row r="10" spans="1:10" x14ac:dyDescent="0.35">
      <c r="A10" t="s">
        <v>65</v>
      </c>
      <c r="B10" s="7">
        <f>Assumptions!B3*B4*'Seawater Report_SanDiego'!B6*365</f>
        <v>37960</v>
      </c>
      <c r="D10" t="s">
        <v>66</v>
      </c>
      <c r="I10" s="47"/>
    </row>
    <row r="11" spans="1:10" x14ac:dyDescent="0.35">
      <c r="A11" t="s">
        <v>67</v>
      </c>
      <c r="B11" s="31">
        <f>W36*Assumptions!B3*1000</f>
        <v>330132.9794293298</v>
      </c>
      <c r="D11" t="s">
        <v>68</v>
      </c>
      <c r="I11" s="47"/>
    </row>
    <row r="12" spans="1:10" x14ac:dyDescent="0.35">
      <c r="A12" t="s">
        <v>69</v>
      </c>
      <c r="B12" s="31">
        <f>W37*Assumptions!B3*1000</f>
        <v>290702.81543274241</v>
      </c>
      <c r="D12" t="s">
        <v>68</v>
      </c>
      <c r="I12" s="47"/>
    </row>
    <row r="13" spans="1:10" x14ac:dyDescent="0.35">
      <c r="A13" t="s">
        <v>70</v>
      </c>
      <c r="B13" s="31">
        <f>W49*Assumptions!B3*1000</f>
        <v>211420.22940563087</v>
      </c>
      <c r="D13" t="s">
        <v>68</v>
      </c>
      <c r="I13" s="47"/>
    </row>
    <row r="14" spans="1:10" x14ac:dyDescent="0.35">
      <c r="A14" t="s">
        <v>71</v>
      </c>
      <c r="B14" s="7">
        <f>B5</f>
        <v>1651720.5422314911</v>
      </c>
      <c r="D14" t="s">
        <v>72</v>
      </c>
      <c r="I14" s="47"/>
    </row>
    <row r="15" spans="1:10" x14ac:dyDescent="0.35">
      <c r="A15" t="s">
        <v>73</v>
      </c>
      <c r="B15" s="7">
        <v>42985.863508689894</v>
      </c>
      <c r="D15" t="s">
        <v>72</v>
      </c>
      <c r="E15" s="25"/>
    </row>
    <row r="16" spans="1:10" x14ac:dyDescent="0.35">
      <c r="A16" t="s">
        <v>74</v>
      </c>
      <c r="B16" s="8">
        <v>500000</v>
      </c>
      <c r="D16" t="s">
        <v>72</v>
      </c>
    </row>
    <row r="17" spans="1:24" x14ac:dyDescent="0.35">
      <c r="A17" t="s">
        <v>75</v>
      </c>
      <c r="B17" s="7">
        <v>42985.863508689894</v>
      </c>
      <c r="D17" t="s">
        <v>76</v>
      </c>
    </row>
    <row r="18" spans="1:24" x14ac:dyDescent="0.35">
      <c r="A18" t="s">
        <v>77</v>
      </c>
      <c r="B18" s="8">
        <f>B14*0.087</f>
        <v>143699.68717413972</v>
      </c>
      <c r="D18" t="s">
        <v>72</v>
      </c>
      <c r="I18" s="6"/>
    </row>
    <row r="19" spans="1:24" x14ac:dyDescent="0.35">
      <c r="A19" s="5" t="s">
        <v>78</v>
      </c>
      <c r="B19" s="14"/>
      <c r="C19" s="14"/>
      <c r="D19" s="14"/>
    </row>
    <row r="20" spans="1:24" x14ac:dyDescent="0.35">
      <c r="A20" t="s">
        <v>65</v>
      </c>
      <c r="B20" s="7">
        <f>Assumptions!B3*B4*Assumptions!B21*365</f>
        <v>166440</v>
      </c>
      <c r="D20" t="s">
        <v>79</v>
      </c>
    </row>
    <row r="21" spans="1:24" x14ac:dyDescent="0.35">
      <c r="A21" t="s">
        <v>80</v>
      </c>
      <c r="B21" s="7">
        <v>1500000</v>
      </c>
      <c r="D21" t="s">
        <v>81</v>
      </c>
    </row>
    <row r="22" spans="1:24" x14ac:dyDescent="0.35">
      <c r="A22" t="s">
        <v>82</v>
      </c>
      <c r="B22" s="7">
        <f>-PMT((Assumptions!B14/100)/12,12*Assumptions!B15,B21,0)*12</f>
        <v>128957.59052606966</v>
      </c>
      <c r="D22" t="s">
        <v>72</v>
      </c>
    </row>
    <row r="23" spans="1:24" x14ac:dyDescent="0.35">
      <c r="A23" t="s">
        <v>83</v>
      </c>
      <c r="B23" s="8">
        <f>0.087*B21</f>
        <v>130499.99999999999</v>
      </c>
      <c r="D23" t="s">
        <v>81</v>
      </c>
    </row>
    <row r="24" spans="1:24" x14ac:dyDescent="0.35">
      <c r="A24" t="s">
        <v>84</v>
      </c>
      <c r="B24" s="15">
        <f>(Assumptions!B10-Assumptions!B9)/Assumptions!B10</f>
        <v>0.65</v>
      </c>
      <c r="D24" t="s">
        <v>72</v>
      </c>
      <c r="J24" s="9"/>
    </row>
    <row r="25" spans="1:24" x14ac:dyDescent="0.35">
      <c r="A25" s="24" t="s">
        <v>85</v>
      </c>
      <c r="B25" s="41">
        <f>((B15+B17+B11+B10+B18)/365)/1000</f>
        <v>1.6377106674543818</v>
      </c>
      <c r="C25" s="20" t="s">
        <v>86</v>
      </c>
      <c r="D25" s="20" t="s">
        <v>87</v>
      </c>
    </row>
    <row r="26" spans="1:24" x14ac:dyDescent="0.35">
      <c r="A26" s="24" t="s">
        <v>88</v>
      </c>
      <c r="B26" s="41">
        <f>((B15+B17+B12+B10+B18)/365)/1000</f>
        <v>1.5296828208883888</v>
      </c>
      <c r="C26" s="20" t="s">
        <v>86</v>
      </c>
      <c r="D26" s="20" t="s">
        <v>89</v>
      </c>
    </row>
    <row r="27" spans="1:24" x14ac:dyDescent="0.35">
      <c r="A27" s="24" t="s">
        <v>90</v>
      </c>
      <c r="B27" s="41">
        <f>((B15+B17+B13+$B$10+$B$18)/365)/1000</f>
        <v>1.312470256430549</v>
      </c>
      <c r="C27" s="20" t="s">
        <v>86</v>
      </c>
      <c r="D27" s="20" t="s">
        <v>91</v>
      </c>
    </row>
    <row r="28" spans="1:24" x14ac:dyDescent="0.35">
      <c r="A28" s="24" t="s">
        <v>92</v>
      </c>
      <c r="B28" s="41">
        <f>((B22+B23+B20)/365)/1000</f>
        <v>1.1668427137700537</v>
      </c>
      <c r="C28" s="20" t="s">
        <v>86</v>
      </c>
      <c r="D28" s="20" t="s">
        <v>93</v>
      </c>
    </row>
    <row r="29" spans="1:24" x14ac:dyDescent="0.35">
      <c r="D29" s="20"/>
    </row>
    <row r="30" spans="1:24" x14ac:dyDescent="0.35">
      <c r="A30" s="19"/>
      <c r="B30" s="4"/>
      <c r="J30" s="22" t="s">
        <v>94</v>
      </c>
      <c r="K30" s="23"/>
      <c r="L30" s="23"/>
      <c r="M30" s="23"/>
      <c r="N30" s="23"/>
      <c r="O30" s="23"/>
    </row>
    <row r="31" spans="1:24" x14ac:dyDescent="0.35">
      <c r="B31" s="4"/>
    </row>
    <row r="32" spans="1:24" x14ac:dyDescent="0.35">
      <c r="A32" s="58" t="s">
        <v>95</v>
      </c>
      <c r="B32" s="58" t="s">
        <v>96</v>
      </c>
      <c r="C32" s="58" t="s">
        <v>97</v>
      </c>
      <c r="D32" s="58" t="s">
        <v>97</v>
      </c>
      <c r="E32" s="58" t="s">
        <v>98</v>
      </c>
      <c r="F32" s="44"/>
      <c r="J32" s="16" t="s">
        <v>99</v>
      </c>
      <c r="K32" s="29" t="s">
        <v>100</v>
      </c>
      <c r="L32" s="29" t="s">
        <v>101</v>
      </c>
      <c r="M32" s="29" t="s">
        <v>102</v>
      </c>
      <c r="N32" s="29" t="s">
        <v>103</v>
      </c>
      <c r="O32" s="29" t="s">
        <v>104</v>
      </c>
      <c r="P32" s="29" t="s">
        <v>105</v>
      </c>
      <c r="Q32" s="29" t="s">
        <v>106</v>
      </c>
      <c r="R32" s="29" t="s">
        <v>107</v>
      </c>
      <c r="S32" s="29" t="s">
        <v>108</v>
      </c>
      <c r="T32" s="29" t="s">
        <v>109</v>
      </c>
      <c r="U32" s="29" t="s">
        <v>110</v>
      </c>
      <c r="V32" s="29" t="s">
        <v>111</v>
      </c>
      <c r="W32" s="29" t="s">
        <v>112</v>
      </c>
      <c r="X32" s="29"/>
    </row>
    <row r="33" spans="1:25" x14ac:dyDescent="0.35">
      <c r="A33" s="10" t="s">
        <v>113</v>
      </c>
      <c r="B33" s="40" t="s">
        <v>114</v>
      </c>
      <c r="C33" s="40" t="s">
        <v>115</v>
      </c>
      <c r="D33" s="40" t="s">
        <v>116</v>
      </c>
      <c r="E33" s="40" t="s">
        <v>114</v>
      </c>
      <c r="F33" s="44"/>
      <c r="J33" s="34" t="s">
        <v>117</v>
      </c>
      <c r="K33" s="32">
        <f>'COP &amp; Temps SWFO'!C6</f>
        <v>14</v>
      </c>
      <c r="L33" s="32">
        <f>'COP &amp; Temps SWFO'!D6</f>
        <v>14</v>
      </c>
      <c r="M33" s="32">
        <f>'COP &amp; Temps SWFO'!E6</f>
        <v>14</v>
      </c>
      <c r="N33" s="32">
        <f>'COP &amp; Temps SWFO'!F6</f>
        <v>15.5</v>
      </c>
      <c r="O33" s="32">
        <f>'COP &amp; Temps SWFO'!G6</f>
        <v>16.5</v>
      </c>
      <c r="P33" s="32">
        <f>'COP &amp; Temps SWFO'!H6</f>
        <v>18</v>
      </c>
      <c r="Q33" s="32">
        <f>'COP &amp; Temps SWFO'!I6</f>
        <v>19</v>
      </c>
      <c r="R33" s="32">
        <f>'COP &amp; Temps SWFO'!J6</f>
        <v>20</v>
      </c>
      <c r="S33" s="32">
        <f>'COP &amp; Temps SWFO'!K6</f>
        <v>19</v>
      </c>
      <c r="T33" s="32">
        <f>'COP &amp; Temps SWFO'!L6</f>
        <v>17.5</v>
      </c>
      <c r="U33" s="32">
        <f>'COP &amp; Temps SWFO'!M6</f>
        <v>16</v>
      </c>
      <c r="V33" s="32">
        <f>'COP &amp; Temps SWFO'!N6</f>
        <v>15</v>
      </c>
    </row>
    <row r="34" spans="1:25" x14ac:dyDescent="0.35">
      <c r="A34" s="26" t="s">
        <v>117</v>
      </c>
      <c r="B34" s="42">
        <f>B25</f>
        <v>1.6377106674543818</v>
      </c>
      <c r="C34" s="42">
        <f>B26</f>
        <v>1.5296828208883888</v>
      </c>
      <c r="D34" s="42">
        <f>B27</f>
        <v>1.312470256430549</v>
      </c>
      <c r="E34" s="42">
        <f>B28</f>
        <v>1.1668427137700537</v>
      </c>
      <c r="F34" s="51"/>
      <c r="J34" t="s">
        <v>118</v>
      </c>
      <c r="K34" s="35">
        <f>'COP &amp; Temps SWFO'!C7</f>
        <v>2.9615384615384617</v>
      </c>
      <c r="L34" s="35">
        <f>'COP &amp; Temps SWFO'!D7</f>
        <v>2.9615384615384617</v>
      </c>
      <c r="M34" s="35">
        <f>'COP &amp; Temps SWFO'!E7</f>
        <v>2.9615384615384617</v>
      </c>
      <c r="N34" s="35">
        <f>'COP &amp; Temps SWFO'!F7</f>
        <v>3.0314960629921255</v>
      </c>
      <c r="O34" s="35">
        <f>'COP &amp; Temps SWFO'!G7</f>
        <v>3.0799999999999996</v>
      </c>
      <c r="P34" s="35">
        <f>'COP &amp; Temps SWFO'!H7</f>
        <v>3.1557377049180326</v>
      </c>
      <c r="Q34" s="35">
        <f>'COP &amp; Temps SWFO'!I7</f>
        <v>3.208333333333333</v>
      </c>
      <c r="R34" s="35">
        <f>'COP &amp; Temps SWFO'!J7</f>
        <v>3.2627118644067794</v>
      </c>
      <c r="S34" s="35">
        <f>'COP &amp; Temps SWFO'!K7</f>
        <v>3.208333333333333</v>
      </c>
      <c r="T34" s="35">
        <f>'COP &amp; Temps SWFO'!L7</f>
        <v>3.1300813008130079</v>
      </c>
      <c r="U34" s="35">
        <f>'COP &amp; Temps SWFO'!M7</f>
        <v>3.0555555555555554</v>
      </c>
      <c r="V34" s="35">
        <f>'COP &amp; Temps SWFO'!N7</f>
        <v>3.0078125</v>
      </c>
      <c r="W34" t="s">
        <v>119</v>
      </c>
    </row>
    <row r="35" spans="1:25" x14ac:dyDescent="0.35">
      <c r="B35" s="50"/>
      <c r="C35" s="50"/>
      <c r="D35" s="50"/>
      <c r="E35" s="50"/>
      <c r="F35" s="51"/>
      <c r="J35" t="s">
        <v>120</v>
      </c>
      <c r="K35">
        <v>3.5</v>
      </c>
      <c r="L35">
        <v>3.5</v>
      </c>
      <c r="M35">
        <v>3.5</v>
      </c>
      <c r="N35">
        <v>3.5</v>
      </c>
      <c r="O35">
        <v>3.5</v>
      </c>
      <c r="P35">
        <v>3.5</v>
      </c>
      <c r="Q35">
        <v>3.5</v>
      </c>
      <c r="R35">
        <v>3.5</v>
      </c>
      <c r="S35">
        <v>3.5</v>
      </c>
      <c r="T35">
        <v>3.5</v>
      </c>
      <c r="U35">
        <v>3.5</v>
      </c>
      <c r="V35">
        <v>3.5</v>
      </c>
      <c r="W35" t="s">
        <v>121</v>
      </c>
    </row>
    <row r="36" spans="1:25" x14ac:dyDescent="0.35">
      <c r="B36" s="50"/>
      <c r="C36" s="50"/>
      <c r="D36" s="50"/>
      <c r="E36" s="50"/>
      <c r="F36" s="51"/>
      <c r="J36" t="s">
        <v>122</v>
      </c>
      <c r="K36" s="18">
        <f>($B$3/K34)*31*24</f>
        <v>366.74566309602801</v>
      </c>
      <c r="L36" s="18">
        <f>($B$3/L34)*28*24</f>
        <v>331.25414731254148</v>
      </c>
      <c r="M36" s="18">
        <f t="shared" ref="M36:V37" si="0">($B$3/M34)*31*24</f>
        <v>366.74566309602801</v>
      </c>
      <c r="N36" s="18">
        <f>($B$3/N34)*30*24</f>
        <v>346.72480803867671</v>
      </c>
      <c r="O36" s="18">
        <f t="shared" si="0"/>
        <v>352.64006066925782</v>
      </c>
      <c r="P36" s="18">
        <f t="shared" ref="P36:S37" si="1">($B$3/P34)*30*24</f>
        <v>333.07422504502802</v>
      </c>
      <c r="Q36" s="18">
        <f t="shared" si="1"/>
        <v>327.61399184756851</v>
      </c>
      <c r="R36" s="18">
        <f t="shared" si="1"/>
        <v>322.15375865010901</v>
      </c>
      <c r="S36" s="18">
        <f t="shared" si="1"/>
        <v>327.61399184756851</v>
      </c>
      <c r="T36" s="18">
        <f t="shared" si="0"/>
        <v>346.99781969854962</v>
      </c>
      <c r="U36" s="18">
        <f>($B$3/U34)*30*24</f>
        <v>343.99469143994691</v>
      </c>
      <c r="V36" s="18">
        <f t="shared" si="0"/>
        <v>361.10342212531992</v>
      </c>
      <c r="W36" s="17">
        <f>SUM(K36:V36)</f>
        <v>4126.6622428666224</v>
      </c>
    </row>
    <row r="37" spans="1:25" x14ac:dyDescent="0.35">
      <c r="B37" s="50"/>
      <c r="C37" s="50"/>
      <c r="D37" s="50"/>
      <c r="E37" s="50"/>
      <c r="F37" s="51"/>
      <c r="J37" t="s">
        <v>123</v>
      </c>
      <c r="K37" s="18">
        <f>($B$3/K35)*31*24</f>
        <v>310.3232533889468</v>
      </c>
      <c r="L37" s="18">
        <f>($B$3/L35)*28*24</f>
        <v>280.29197080291971</v>
      </c>
      <c r="M37" s="18">
        <f t="shared" si="0"/>
        <v>310.3232533889468</v>
      </c>
      <c r="N37" s="18">
        <f>($B$3/N35)*30*24</f>
        <v>300.31282586027112</v>
      </c>
      <c r="O37" s="18">
        <f t="shared" si="0"/>
        <v>310.3232533889468</v>
      </c>
      <c r="P37" s="18">
        <f t="shared" si="1"/>
        <v>300.31282586027112</v>
      </c>
      <c r="Q37" s="18">
        <f t="shared" si="1"/>
        <v>300.31282586027112</v>
      </c>
      <c r="R37" s="18">
        <f t="shared" si="1"/>
        <v>300.31282586027112</v>
      </c>
      <c r="S37" s="18">
        <f t="shared" si="1"/>
        <v>300.31282586027112</v>
      </c>
      <c r="T37" s="18">
        <f t="shared" si="0"/>
        <v>310.3232533889468</v>
      </c>
      <c r="U37" s="18">
        <f>($B$3/U35)*30*24</f>
        <v>300.31282586027112</v>
      </c>
      <c r="V37" s="18">
        <f t="shared" si="0"/>
        <v>310.3232533889468</v>
      </c>
      <c r="W37" s="17">
        <f>SUM(K37:V37)</f>
        <v>3633.7851929092799</v>
      </c>
    </row>
    <row r="38" spans="1:25" x14ac:dyDescent="0.35">
      <c r="B38" s="50"/>
      <c r="C38" s="50"/>
      <c r="D38" s="50"/>
      <c r="E38" s="50"/>
      <c r="F38" s="51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7"/>
    </row>
    <row r="39" spans="1:25" x14ac:dyDescent="0.35">
      <c r="A39" s="52"/>
      <c r="B39" s="53"/>
      <c r="C39" s="53"/>
      <c r="D39" s="53"/>
      <c r="E39" s="53"/>
      <c r="F39" s="54"/>
      <c r="L39" s="18"/>
      <c r="X39" s="17"/>
    </row>
    <row r="40" spans="1:25" x14ac:dyDescent="0.35">
      <c r="A40" s="16"/>
      <c r="B40" s="45"/>
      <c r="C40" s="45"/>
      <c r="D40" s="45"/>
      <c r="E40" s="45"/>
      <c r="L40" s="30"/>
      <c r="X40" s="17"/>
    </row>
    <row r="41" spans="1:25" x14ac:dyDescent="0.35">
      <c r="B41" s="54"/>
      <c r="C41" s="54"/>
      <c r="D41" s="54"/>
      <c r="E41" s="54"/>
      <c r="L41" s="36"/>
      <c r="X41" s="17"/>
    </row>
    <row r="42" spans="1:25" x14ac:dyDescent="0.35">
      <c r="B42" s="54"/>
      <c r="C42" s="54"/>
      <c r="D42" s="54"/>
      <c r="E42" s="54"/>
      <c r="J42" s="22" t="s">
        <v>124</v>
      </c>
      <c r="K42" s="23"/>
      <c r="L42" s="23"/>
      <c r="M42" s="23"/>
      <c r="N42" s="23"/>
      <c r="O42" s="23"/>
      <c r="X42" s="17"/>
    </row>
    <row r="43" spans="1:25" x14ac:dyDescent="0.35">
      <c r="B43" s="54"/>
      <c r="C43" s="54"/>
      <c r="D43" s="54"/>
      <c r="E43" s="54"/>
      <c r="P43" t="e" vm="1">
        <v>#VALUE!</v>
      </c>
      <c r="X43" s="17"/>
    </row>
    <row r="44" spans="1:25" x14ac:dyDescent="0.35">
      <c r="B44" s="54"/>
      <c r="C44" s="54"/>
      <c r="D44" s="54"/>
      <c r="E44" s="54"/>
      <c r="K44" s="16" t="s">
        <v>99</v>
      </c>
      <c r="L44" s="29" t="s">
        <v>100</v>
      </c>
      <c r="M44" s="29" t="s">
        <v>101</v>
      </c>
      <c r="N44" s="29" t="s">
        <v>102</v>
      </c>
      <c r="O44" s="29" t="s">
        <v>103</v>
      </c>
      <c r="P44" s="29" t="s">
        <v>104</v>
      </c>
      <c r="Q44" s="29" t="s">
        <v>105</v>
      </c>
      <c r="R44" s="29" t="s">
        <v>106</v>
      </c>
      <c r="S44" s="29" t="s">
        <v>107</v>
      </c>
      <c r="T44" s="29" t="s">
        <v>108</v>
      </c>
      <c r="U44" s="29" t="s">
        <v>109</v>
      </c>
      <c r="V44" s="29" t="s">
        <v>110</v>
      </c>
      <c r="W44" s="29" t="s">
        <v>111</v>
      </c>
      <c r="X44" s="29" t="s">
        <v>112</v>
      </c>
      <c r="Y44" s="29"/>
    </row>
    <row r="45" spans="1:25" x14ac:dyDescent="0.35">
      <c r="B45" s="54"/>
      <c r="C45" s="54"/>
      <c r="D45" s="54"/>
      <c r="E45" s="54"/>
      <c r="J45" s="34" t="s">
        <v>125</v>
      </c>
      <c r="K45" s="32">
        <f>'COP &amp; Temps SWFO'!C6</f>
        <v>14</v>
      </c>
      <c r="L45" s="32">
        <f>'COP &amp; Temps SWFO'!D6</f>
        <v>14</v>
      </c>
      <c r="M45" s="32">
        <f>'COP &amp; Temps SWFO'!E6</f>
        <v>14</v>
      </c>
      <c r="N45" s="32">
        <f>'COP &amp; Temps SWFO'!F6</f>
        <v>15.5</v>
      </c>
      <c r="O45" s="32">
        <f>'COP &amp; Temps SWFO'!G6</f>
        <v>16.5</v>
      </c>
      <c r="P45" s="32">
        <f>'COP &amp; Temps SWFO'!H6</f>
        <v>18</v>
      </c>
      <c r="Q45" s="32">
        <f>'COP &amp; Temps SWFO'!I6</f>
        <v>19</v>
      </c>
      <c r="R45" s="32">
        <f>'COP &amp; Temps SWFO'!J6</f>
        <v>20</v>
      </c>
      <c r="S45" s="32">
        <f>'COP &amp; Temps SWFO'!K6</f>
        <v>19</v>
      </c>
      <c r="T45" s="32">
        <f>'COP &amp; Temps SWFO'!L6</f>
        <v>17.5</v>
      </c>
      <c r="U45" s="32">
        <f>'COP &amp; Temps SWFO'!M6</f>
        <v>16</v>
      </c>
      <c r="V45" s="32">
        <f>'COP &amp; Temps SWFO'!N6</f>
        <v>15</v>
      </c>
      <c r="W45" s="17"/>
    </row>
    <row r="46" spans="1:25" x14ac:dyDescent="0.35">
      <c r="A46" s="16"/>
      <c r="B46" s="16"/>
      <c r="C46" s="55"/>
      <c r="J46" t="s">
        <v>126</v>
      </c>
      <c r="K46" s="35">
        <f>'COP &amp; Temps SWFO'!C7</f>
        <v>2.9615384615384617</v>
      </c>
      <c r="L46" s="35">
        <f>'COP &amp; Temps SWFO'!D7</f>
        <v>2.9615384615384617</v>
      </c>
      <c r="M46" s="35">
        <f>'COP &amp; Temps SWFO'!E7</f>
        <v>2.9615384615384617</v>
      </c>
      <c r="N46" s="35">
        <f>'COP &amp; Temps SWFO'!F7</f>
        <v>3.0314960629921255</v>
      </c>
      <c r="O46" s="35">
        <f>'COP &amp; Temps SWFO'!G7</f>
        <v>3.0799999999999996</v>
      </c>
      <c r="P46" s="35">
        <f>'COP &amp; Temps SWFO'!H7</f>
        <v>3.1557377049180326</v>
      </c>
      <c r="Q46" s="35">
        <f>'COP &amp; Temps SWFO'!I7</f>
        <v>3.208333333333333</v>
      </c>
      <c r="R46" s="35">
        <f>'COP &amp; Temps SWFO'!J7</f>
        <v>3.2627118644067794</v>
      </c>
      <c r="S46" s="35">
        <f>'COP &amp; Temps SWFO'!K7</f>
        <v>3.208333333333333</v>
      </c>
      <c r="T46" s="35">
        <f>'COP &amp; Temps SWFO'!L7</f>
        <v>3.1300813008130079</v>
      </c>
      <c r="U46" s="35">
        <f>'COP &amp; Temps SWFO'!M7</f>
        <v>3.0555555555555554</v>
      </c>
      <c r="V46" s="35">
        <f>'COP &amp; Temps SWFO'!N7</f>
        <v>3.0078125</v>
      </c>
      <c r="W46" s="17" t="s">
        <v>119</v>
      </c>
    </row>
    <row r="47" spans="1:25" x14ac:dyDescent="0.35">
      <c r="B47" s="16"/>
      <c r="C47" s="55"/>
      <c r="J47" t="s">
        <v>127</v>
      </c>
      <c r="K47" s="18">
        <f>'COP &amp; Temps SWFO'!$M$24</f>
        <v>4.8125</v>
      </c>
      <c r="L47" s="18">
        <f>'COP &amp; Temps SWFO'!$M$24</f>
        <v>4.8125</v>
      </c>
      <c r="M47" s="18">
        <f>'COP &amp; Temps SWFO'!$M$24</f>
        <v>4.8125</v>
      </c>
      <c r="N47" s="18">
        <f>'COP &amp; Temps SWFO'!$M$24</f>
        <v>4.8125</v>
      </c>
      <c r="O47" s="18">
        <f>'COP &amp; Temps SWFO'!$M$24</f>
        <v>4.8125</v>
      </c>
      <c r="P47" s="18">
        <f>'COP &amp; Temps SWFO'!$M$24</f>
        <v>4.8125</v>
      </c>
      <c r="Q47" s="18">
        <f>'COP &amp; Temps SWFO'!$M$24</f>
        <v>4.8125</v>
      </c>
      <c r="R47" s="18">
        <f>'COP &amp; Temps SWFO'!$M$24</f>
        <v>4.8125</v>
      </c>
      <c r="S47" s="18">
        <f>'COP &amp; Temps SWFO'!$M$24</f>
        <v>4.8125</v>
      </c>
      <c r="T47" s="18">
        <f>'COP &amp; Temps SWFO'!$M$24</f>
        <v>4.8125</v>
      </c>
      <c r="U47" s="18">
        <f>'COP &amp; Temps SWFO'!$M$24</f>
        <v>4.8125</v>
      </c>
      <c r="V47" s="18">
        <f>'COP &amp; Temps SWFO'!$M$24</f>
        <v>4.8125</v>
      </c>
      <c r="W47" s="17" t="s">
        <v>121</v>
      </c>
    </row>
    <row r="48" spans="1:25" x14ac:dyDescent="0.35">
      <c r="B48" s="16"/>
      <c r="C48" s="55"/>
      <c r="E48" s="16"/>
      <c r="F48" s="56"/>
      <c r="J48" t="s">
        <v>122</v>
      </c>
      <c r="K48" s="18">
        <f>($B$3/K46)*31*24</f>
        <v>366.74566309602801</v>
      </c>
      <c r="L48" s="18">
        <f>($B$3/L46)*28*24</f>
        <v>331.25414731254148</v>
      </c>
      <c r="M48" s="18">
        <f t="shared" ref="M48:M49" si="2">($B$3/M46)*31*24</f>
        <v>366.74566309602801</v>
      </c>
      <c r="N48" s="18">
        <f>($B$3/N46)*30*24</f>
        <v>346.72480803867671</v>
      </c>
      <c r="O48" s="18">
        <f t="shared" ref="O48:O49" si="3">($B$3/O46)*31*24</f>
        <v>352.64006066925782</v>
      </c>
      <c r="P48" s="18">
        <f t="shared" ref="P48:S49" si="4">($B$3/P46)*30*24</f>
        <v>333.07422504502802</v>
      </c>
      <c r="Q48" s="18">
        <f t="shared" si="4"/>
        <v>327.61399184756851</v>
      </c>
      <c r="R48" s="18">
        <f t="shared" si="4"/>
        <v>322.15375865010901</v>
      </c>
      <c r="S48" s="18">
        <f t="shared" si="4"/>
        <v>327.61399184756851</v>
      </c>
      <c r="T48" s="18">
        <f t="shared" ref="T48:T49" si="5">($B$3/T46)*31*24</f>
        <v>346.99781969854962</v>
      </c>
      <c r="U48" s="18">
        <f>($B$3/U46)*30*24</f>
        <v>343.99469143994691</v>
      </c>
      <c r="V48" s="18">
        <f t="shared" ref="V48:V49" si="6">($B$3/V46)*31*24</f>
        <v>361.10342212531992</v>
      </c>
      <c r="W48" s="17">
        <f>SUM(K48:V48)</f>
        <v>4126.6622428666224</v>
      </c>
    </row>
    <row r="49" spans="1:24" x14ac:dyDescent="0.35">
      <c r="B49" s="16"/>
      <c r="C49" s="55"/>
      <c r="E49" s="16"/>
      <c r="F49" s="56"/>
      <c r="J49" t="s">
        <v>123</v>
      </c>
      <c r="K49" s="18">
        <f>($B$3/K47)*31*24</f>
        <v>225.68963882832497</v>
      </c>
      <c r="L49" s="18">
        <f>($B$3/L47)*28*24</f>
        <v>203.84870603848705</v>
      </c>
      <c r="M49" s="18">
        <f t="shared" si="2"/>
        <v>225.68963882832497</v>
      </c>
      <c r="N49" s="18">
        <f>($B$3/N47)*30*24</f>
        <v>218.40932789837899</v>
      </c>
      <c r="O49" s="18">
        <f t="shared" si="3"/>
        <v>225.68963882832497</v>
      </c>
      <c r="P49" s="18">
        <f t="shared" si="4"/>
        <v>218.40932789837899</v>
      </c>
      <c r="Q49" s="18">
        <f t="shared" si="4"/>
        <v>218.40932789837899</v>
      </c>
      <c r="R49" s="18">
        <f t="shared" si="4"/>
        <v>218.40932789837899</v>
      </c>
      <c r="S49" s="18">
        <f t="shared" si="4"/>
        <v>218.40932789837899</v>
      </c>
      <c r="T49" s="18">
        <f t="shared" si="5"/>
        <v>225.68963882832497</v>
      </c>
      <c r="U49" s="18">
        <f>($B$3/U47)*30*24</f>
        <v>218.40932789837899</v>
      </c>
      <c r="V49" s="18">
        <f t="shared" si="6"/>
        <v>225.68963882832497</v>
      </c>
      <c r="W49" s="17">
        <f>SUM(K49:V49)</f>
        <v>2642.7528675703857</v>
      </c>
    </row>
    <row r="50" spans="1:24" x14ac:dyDescent="0.35">
      <c r="B50" s="57"/>
      <c r="E50" s="16"/>
      <c r="F50" s="56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7"/>
    </row>
    <row r="51" spans="1:24" x14ac:dyDescent="0.35">
      <c r="B51" s="57"/>
      <c r="L51" s="18"/>
    </row>
    <row r="52" spans="1:24" x14ac:dyDescent="0.35">
      <c r="B52" s="57"/>
      <c r="L52" s="30"/>
    </row>
    <row r="53" spans="1:24" x14ac:dyDescent="0.35">
      <c r="A53" s="19"/>
      <c r="B53" s="4"/>
      <c r="L53" s="37"/>
    </row>
    <row r="54" spans="1:24" x14ac:dyDescent="0.35">
      <c r="B54" s="4"/>
    </row>
    <row r="56" spans="1:24" x14ac:dyDescent="0.35">
      <c r="J56" s="16"/>
    </row>
    <row r="58" spans="1:24" x14ac:dyDescent="0.35">
      <c r="K58" s="16"/>
    </row>
    <row r="59" spans="1:24" x14ac:dyDescent="0.35">
      <c r="K59" s="3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</row>
    <row r="60" spans="1:24" x14ac:dyDescent="0.35"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</row>
    <row r="62" spans="1:24" x14ac:dyDescent="0.35"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spans="1:24" x14ac:dyDescent="0.35"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spans="1:24" x14ac:dyDescent="0.35"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spans="1:24" x14ac:dyDescent="0.35">
      <c r="L65" s="18"/>
    </row>
    <row r="66" spans="1:24" x14ac:dyDescent="0.35">
      <c r="L66" s="66"/>
    </row>
    <row r="67" spans="1:24" x14ac:dyDescent="0.35">
      <c r="L67" s="18"/>
    </row>
    <row r="68" spans="1:24" x14ac:dyDescent="0.35">
      <c r="J68" s="16"/>
    </row>
    <row r="70" spans="1:24" x14ac:dyDescent="0.35">
      <c r="K70" s="16"/>
    </row>
    <row r="71" spans="1:24" x14ac:dyDescent="0.35">
      <c r="K71" s="3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</row>
    <row r="72" spans="1:24" x14ac:dyDescent="0.35">
      <c r="A72" s="16"/>
      <c r="B72" s="16"/>
      <c r="C72" s="5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</row>
    <row r="73" spans="1:24" x14ac:dyDescent="0.35">
      <c r="B73" s="16"/>
      <c r="C73" s="55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spans="1:24" x14ac:dyDescent="0.35">
      <c r="B74" s="16"/>
      <c r="C74" s="55"/>
      <c r="E74" s="16"/>
      <c r="F74" s="56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4" x14ac:dyDescent="0.35">
      <c r="B75" s="16"/>
      <c r="C75" s="55"/>
      <c r="E75" s="16"/>
      <c r="F75" s="56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x14ac:dyDescent="0.35">
      <c r="B76" s="59"/>
      <c r="E76" s="16"/>
      <c r="F76" s="56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spans="1:24" x14ac:dyDescent="0.35">
      <c r="B77" s="59"/>
      <c r="L77" s="18"/>
    </row>
    <row r="78" spans="1:24" x14ac:dyDescent="0.35">
      <c r="B78" s="59"/>
      <c r="L78" s="66"/>
    </row>
    <row r="79" spans="1:24" x14ac:dyDescent="0.35">
      <c r="A79" s="19"/>
      <c r="B79" s="4"/>
      <c r="L79" s="37"/>
    </row>
    <row r="80" spans="1:24" x14ac:dyDescent="0.35">
      <c r="B80" s="4"/>
    </row>
    <row r="82" spans="10:23" x14ac:dyDescent="0.35">
      <c r="J82" s="16"/>
    </row>
    <row r="84" spans="10:23" x14ac:dyDescent="0.35">
      <c r="K84" s="16"/>
    </row>
    <row r="85" spans="10:23" x14ac:dyDescent="0.35">
      <c r="K85" s="3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</row>
    <row r="86" spans="10:23" x14ac:dyDescent="0.35"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</row>
    <row r="88" spans="10:23" x14ac:dyDescent="0.35"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spans="10:23" x14ac:dyDescent="0.35"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0:23" x14ac:dyDescent="0.35"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spans="10:23" x14ac:dyDescent="0.35">
      <c r="L91" s="18"/>
    </row>
    <row r="92" spans="10:23" x14ac:dyDescent="0.35">
      <c r="L92" s="66"/>
    </row>
    <row r="93" spans="10:23" x14ac:dyDescent="0.35">
      <c r="L93" s="36"/>
    </row>
    <row r="94" spans="10:23" x14ac:dyDescent="0.35">
      <c r="J94" s="16"/>
    </row>
    <row r="96" spans="10:23" x14ac:dyDescent="0.35">
      <c r="K96" s="16"/>
    </row>
    <row r="97" spans="1:24" x14ac:dyDescent="0.35">
      <c r="K97" s="3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</row>
    <row r="98" spans="1:24" x14ac:dyDescent="0.35">
      <c r="A98" s="16"/>
      <c r="B98" s="16"/>
      <c r="C98" s="5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</row>
    <row r="99" spans="1:24" x14ac:dyDescent="0.35">
      <c r="B99" s="16"/>
      <c r="C99" s="55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spans="1:24" x14ac:dyDescent="0.35">
      <c r="B100" s="16"/>
      <c r="C100" s="55"/>
      <c r="E100" s="16"/>
      <c r="F100" s="56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spans="1:24" x14ac:dyDescent="0.35">
      <c r="B101" s="16"/>
      <c r="C101" s="55"/>
      <c r="E101" s="16"/>
      <c r="F101" s="56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1:24" x14ac:dyDescent="0.35">
      <c r="B102" s="59"/>
      <c r="E102" s="16"/>
      <c r="F102" s="56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spans="1:24" x14ac:dyDescent="0.35">
      <c r="B103" s="59"/>
      <c r="L103" s="18"/>
    </row>
    <row r="104" spans="1:24" x14ac:dyDescent="0.35">
      <c r="B104" s="59"/>
      <c r="L104" s="66"/>
    </row>
    <row r="105" spans="1:24" x14ac:dyDescent="0.35">
      <c r="A105" s="19"/>
      <c r="B105" s="4"/>
      <c r="L105" s="37"/>
    </row>
    <row r="106" spans="1:24" x14ac:dyDescent="0.35">
      <c r="B106" s="4"/>
    </row>
    <row r="108" spans="1:24" x14ac:dyDescent="0.35">
      <c r="J108" s="16"/>
    </row>
    <row r="110" spans="1:24" x14ac:dyDescent="0.35">
      <c r="K110" s="16"/>
    </row>
    <row r="111" spans="1:24" x14ac:dyDescent="0.35">
      <c r="K111" s="3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</row>
    <row r="112" spans="1:24" x14ac:dyDescent="0.35"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4" spans="1:24" x14ac:dyDescent="0.35"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spans="1:24" x14ac:dyDescent="0.35"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spans="1:24" x14ac:dyDescent="0.35"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spans="1:24" x14ac:dyDescent="0.35">
      <c r="L117" s="18"/>
    </row>
    <row r="118" spans="1:24" x14ac:dyDescent="0.35">
      <c r="L118" s="66"/>
    </row>
    <row r="119" spans="1:24" x14ac:dyDescent="0.35">
      <c r="L119" s="36"/>
    </row>
    <row r="120" spans="1:24" x14ac:dyDescent="0.35">
      <c r="J120" s="16"/>
    </row>
    <row r="122" spans="1:24" x14ac:dyDescent="0.35">
      <c r="K122" s="16"/>
    </row>
    <row r="123" spans="1:24" x14ac:dyDescent="0.35">
      <c r="K123" s="3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</row>
    <row r="124" spans="1:24" x14ac:dyDescent="0.35">
      <c r="A124" s="16"/>
      <c r="B124" s="16"/>
      <c r="C124" s="5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</row>
    <row r="125" spans="1:24" x14ac:dyDescent="0.35">
      <c r="B125" s="16"/>
      <c r="C125" s="55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spans="1:24" x14ac:dyDescent="0.35">
      <c r="B126" s="16"/>
      <c r="C126" s="55"/>
      <c r="E126" s="16"/>
      <c r="F126" s="56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spans="1:24" x14ac:dyDescent="0.35">
      <c r="B127" s="16"/>
      <c r="C127" s="55"/>
      <c r="E127" s="16"/>
      <c r="F127" s="56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 x14ac:dyDescent="0.35">
      <c r="B128" s="16"/>
      <c r="C128" s="55"/>
      <c r="E128" s="16"/>
      <c r="F128" s="56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spans="2:23" x14ac:dyDescent="0.35">
      <c r="B129" s="59"/>
      <c r="L129" s="18"/>
    </row>
    <row r="130" spans="2:23" x14ac:dyDescent="0.35">
      <c r="B130" s="59"/>
      <c r="L130" s="66"/>
    </row>
    <row r="131" spans="2:23" x14ac:dyDescent="0.35">
      <c r="B131" s="59"/>
      <c r="L131" s="37"/>
    </row>
    <row r="132" spans="2:23" x14ac:dyDescent="0.35">
      <c r="B132" s="59"/>
    </row>
    <row r="133" spans="2:23" x14ac:dyDescent="0.35">
      <c r="B133" s="4"/>
    </row>
    <row r="134" spans="2:23" x14ac:dyDescent="0.35">
      <c r="J134" s="16"/>
    </row>
    <row r="136" spans="2:23" x14ac:dyDescent="0.35">
      <c r="K136" s="16"/>
    </row>
    <row r="137" spans="2:23" x14ac:dyDescent="0.35">
      <c r="K137" s="3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</row>
    <row r="138" spans="2:23" x14ac:dyDescent="0.35"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</row>
    <row r="140" spans="2:23" x14ac:dyDescent="0.35"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spans="2:23" x14ac:dyDescent="0.35"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spans="2:23" x14ac:dyDescent="0.35"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spans="2:23" x14ac:dyDescent="0.35">
      <c r="L143" s="18"/>
    </row>
    <row r="144" spans="2:23" x14ac:dyDescent="0.35">
      <c r="L144" s="66"/>
    </row>
    <row r="145" spans="1:24" x14ac:dyDescent="0.35">
      <c r="L145" s="36"/>
    </row>
    <row r="146" spans="1:24" x14ac:dyDescent="0.35">
      <c r="J146" s="16"/>
    </row>
    <row r="148" spans="1:24" x14ac:dyDescent="0.35">
      <c r="K148" s="16"/>
    </row>
    <row r="149" spans="1:24" x14ac:dyDescent="0.35">
      <c r="K149" s="3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</row>
    <row r="150" spans="1:24" x14ac:dyDescent="0.35"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</row>
    <row r="151" spans="1:24" x14ac:dyDescent="0.35">
      <c r="A151" s="60"/>
      <c r="B151" s="10"/>
      <c r="C151" s="40"/>
      <c r="D151" s="10"/>
      <c r="E151" s="10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spans="1:24" x14ac:dyDescent="0.35">
      <c r="A152" s="10"/>
      <c r="B152" s="10"/>
      <c r="C152" s="11"/>
      <c r="D152" s="10"/>
      <c r="E152" s="10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spans="1:24" x14ac:dyDescent="0.35">
      <c r="A153" s="61"/>
      <c r="B153" s="40"/>
      <c r="C153" s="11"/>
      <c r="D153" s="40"/>
      <c r="E153" s="40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spans="1:24" x14ac:dyDescent="0.35">
      <c r="A154" s="11"/>
      <c r="B154" s="62"/>
      <c r="C154" s="11"/>
      <c r="D154" s="56"/>
      <c r="E154" s="62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spans="1:24" x14ac:dyDescent="0.35">
      <c r="A155" s="11"/>
      <c r="B155" s="62"/>
      <c r="C155" s="11"/>
      <c r="D155" s="56"/>
      <c r="E155" s="62"/>
      <c r="L155" s="18"/>
    </row>
    <row r="156" spans="1:24" x14ac:dyDescent="0.35">
      <c r="A156" s="11"/>
      <c r="B156" s="62"/>
      <c r="C156" s="11"/>
      <c r="D156" s="56"/>
      <c r="E156" s="62"/>
      <c r="L156" s="66"/>
    </row>
    <row r="157" spans="1:24" x14ac:dyDescent="0.35">
      <c r="A157" s="11"/>
      <c r="B157" s="62"/>
      <c r="C157" s="11"/>
      <c r="D157" s="56"/>
      <c r="E157" s="62"/>
      <c r="L157" s="37"/>
    </row>
    <row r="158" spans="1:24" x14ac:dyDescent="0.35">
      <c r="A158" s="11"/>
      <c r="B158" s="62"/>
      <c r="C158" s="11"/>
      <c r="D158" s="56"/>
      <c r="E158" s="62"/>
    </row>
    <row r="159" spans="1:24" x14ac:dyDescent="0.35">
      <c r="A159" s="63"/>
      <c r="B159" s="62"/>
      <c r="C159" s="11"/>
      <c r="D159" s="56"/>
      <c r="E159" s="62"/>
      <c r="J159" s="16"/>
    </row>
    <row r="160" spans="1:24" x14ac:dyDescent="0.35">
      <c r="A160" s="10"/>
      <c r="B160" s="10"/>
      <c r="C160" s="11"/>
      <c r="D160" s="10"/>
      <c r="E160" s="10"/>
    </row>
    <row r="161" spans="1:24" x14ac:dyDescent="0.35">
      <c r="A161" s="60"/>
      <c r="B161" s="10"/>
      <c r="C161" s="40"/>
      <c r="D161" s="10"/>
      <c r="E161" s="10"/>
      <c r="K161" s="16"/>
    </row>
    <row r="162" spans="1:24" x14ac:dyDescent="0.35">
      <c r="A162" s="10"/>
      <c r="B162" s="10"/>
      <c r="C162" s="10"/>
      <c r="D162" s="10"/>
      <c r="E162" s="10"/>
      <c r="K162" s="3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</row>
    <row r="163" spans="1:24" x14ac:dyDescent="0.35">
      <c r="A163" s="61"/>
      <c r="B163" s="40"/>
      <c r="C163" s="10"/>
      <c r="D163" s="40"/>
      <c r="E163" s="40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</row>
    <row r="164" spans="1:24" x14ac:dyDescent="0.35">
      <c r="A164" s="11"/>
      <c r="B164" s="62"/>
      <c r="C164" s="10"/>
      <c r="D164" s="62"/>
      <c r="E164" s="62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4" x14ac:dyDescent="0.35">
      <c r="A165" s="11"/>
      <c r="B165" s="62"/>
      <c r="C165" s="10"/>
      <c r="D165" s="62"/>
      <c r="E165" s="62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4" x14ac:dyDescent="0.35">
      <c r="A166" s="11"/>
      <c r="B166" s="62"/>
      <c r="C166" s="10"/>
      <c r="D166" s="62"/>
      <c r="E166" s="62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1:24" x14ac:dyDescent="0.35">
      <c r="A167" s="11"/>
      <c r="B167" s="62"/>
      <c r="C167" s="10"/>
      <c r="D167" s="62"/>
      <c r="E167" s="62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4" x14ac:dyDescent="0.35">
      <c r="A168" s="11"/>
      <c r="B168" s="62"/>
      <c r="C168" s="10"/>
      <c r="D168" s="62"/>
      <c r="E168" s="62"/>
      <c r="L168" s="18"/>
    </row>
    <row r="169" spans="1:24" x14ac:dyDescent="0.35">
      <c r="A169" s="11"/>
      <c r="B169" s="62"/>
      <c r="C169" s="10"/>
      <c r="D169" s="62"/>
      <c r="E169" s="62"/>
      <c r="L169" s="66"/>
    </row>
    <row r="170" spans="1:24" x14ac:dyDescent="0.35">
      <c r="L17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B0EFC-883C-4E02-8C9D-9CE99CAFC84F}">
  <dimension ref="A2:P30"/>
  <sheetViews>
    <sheetView zoomScale="113" workbookViewId="0">
      <selection activeCell="M23" sqref="M23"/>
    </sheetView>
  </sheetViews>
  <sheetFormatPr defaultRowHeight="14.5" x14ac:dyDescent="0.35"/>
  <cols>
    <col min="1" max="1" width="21.1796875" customWidth="1"/>
    <col min="2" max="2" width="14.81640625" customWidth="1"/>
    <col min="9" max="9" width="16.7265625" customWidth="1"/>
    <col min="10" max="10" width="16.1796875" customWidth="1"/>
    <col min="13" max="13" width="17.26953125" customWidth="1"/>
    <col min="14" max="14" width="22.81640625" customWidth="1"/>
  </cols>
  <sheetData>
    <row r="2" spans="1:16" x14ac:dyDescent="0.35">
      <c r="A2" s="33" t="s">
        <v>128</v>
      </c>
      <c r="B2" s="33"/>
      <c r="C2" s="33"/>
      <c r="D2" s="33"/>
      <c r="E2" s="33"/>
    </row>
    <row r="4" spans="1:16" x14ac:dyDescent="0.35">
      <c r="B4" s="5" t="s">
        <v>99</v>
      </c>
      <c r="C4" s="5" t="s">
        <v>129</v>
      </c>
      <c r="D4" s="5" t="s">
        <v>130</v>
      </c>
      <c r="E4" s="5" t="s">
        <v>131</v>
      </c>
      <c r="F4" s="5" t="s">
        <v>103</v>
      </c>
      <c r="G4" s="5" t="s">
        <v>132</v>
      </c>
      <c r="H4" s="5" t="s">
        <v>133</v>
      </c>
      <c r="I4" s="5" t="s">
        <v>134</v>
      </c>
      <c r="J4" s="5" t="s">
        <v>107</v>
      </c>
      <c r="K4" s="5" t="s">
        <v>135</v>
      </c>
      <c r="L4" s="5" t="s">
        <v>109</v>
      </c>
      <c r="M4" s="5" t="s">
        <v>110</v>
      </c>
      <c r="N4" s="5" t="s">
        <v>111</v>
      </c>
    </row>
    <row r="6" spans="1:16" x14ac:dyDescent="0.35">
      <c r="B6" s="38" t="s">
        <v>117</v>
      </c>
      <c r="C6" s="29">
        <v>14</v>
      </c>
      <c r="D6" s="29">
        <v>14</v>
      </c>
      <c r="E6" s="29">
        <v>14</v>
      </c>
      <c r="F6" s="29">
        <v>15.5</v>
      </c>
      <c r="G6" s="29">
        <v>16.5</v>
      </c>
      <c r="H6" s="29">
        <v>18</v>
      </c>
      <c r="I6" s="29">
        <v>19</v>
      </c>
      <c r="J6" s="29">
        <v>20</v>
      </c>
      <c r="K6" s="29">
        <v>19</v>
      </c>
      <c r="L6" s="29">
        <v>17.5</v>
      </c>
      <c r="M6" s="29">
        <v>16</v>
      </c>
      <c r="N6" s="29">
        <v>15</v>
      </c>
      <c r="P6" t="s">
        <v>136</v>
      </c>
    </row>
    <row r="7" spans="1:16" x14ac:dyDescent="0.35">
      <c r="B7" t="s">
        <v>137</v>
      </c>
      <c r="C7" s="18">
        <f>((352)/(352-(273+C6))/6.4)*$M$23</f>
        <v>2.9615384615384617</v>
      </c>
      <c r="D7" s="18">
        <f t="shared" ref="D7:N7" si="0">((352)/(352-(273+D6))/6.4)*$M$23</f>
        <v>2.9615384615384617</v>
      </c>
      <c r="E7" s="18">
        <f t="shared" si="0"/>
        <v>2.9615384615384617</v>
      </c>
      <c r="F7" s="18">
        <f t="shared" si="0"/>
        <v>3.0314960629921255</v>
      </c>
      <c r="G7" s="18">
        <f t="shared" si="0"/>
        <v>3.0799999999999996</v>
      </c>
      <c r="H7" s="18">
        <f t="shared" si="0"/>
        <v>3.1557377049180326</v>
      </c>
      <c r="I7" s="18">
        <f t="shared" si="0"/>
        <v>3.208333333333333</v>
      </c>
      <c r="J7" s="18">
        <f t="shared" si="0"/>
        <v>3.2627118644067794</v>
      </c>
      <c r="K7" s="18">
        <f t="shared" si="0"/>
        <v>3.208333333333333</v>
      </c>
      <c r="L7" s="18">
        <f t="shared" si="0"/>
        <v>3.1300813008130079</v>
      </c>
      <c r="M7" s="18">
        <f t="shared" si="0"/>
        <v>3.0555555555555554</v>
      </c>
      <c r="N7" s="18">
        <f t="shared" si="0"/>
        <v>3.0078125</v>
      </c>
      <c r="P7" t="s">
        <v>138</v>
      </c>
    </row>
    <row r="8" spans="1:16" x14ac:dyDescent="0.35">
      <c r="B8" s="38" t="s">
        <v>139</v>
      </c>
      <c r="C8" s="29">
        <v>24</v>
      </c>
      <c r="D8" s="29">
        <v>24</v>
      </c>
      <c r="E8" s="29">
        <v>24.6</v>
      </c>
      <c r="F8" s="29">
        <v>25.6</v>
      </c>
      <c r="G8" s="29">
        <v>26.9</v>
      </c>
      <c r="H8" s="29">
        <v>28.5</v>
      </c>
      <c r="I8" s="29">
        <v>29.5</v>
      </c>
      <c r="J8" s="29">
        <v>29.9</v>
      </c>
      <c r="K8" s="29">
        <v>29.4</v>
      </c>
      <c r="L8" s="29">
        <v>28.2</v>
      </c>
      <c r="M8" s="29">
        <v>26.5</v>
      </c>
      <c r="N8" s="29">
        <v>25.3</v>
      </c>
    </row>
    <row r="9" spans="1:16" x14ac:dyDescent="0.35">
      <c r="B9" t="s">
        <v>140</v>
      </c>
      <c r="C9" s="18">
        <f>((352)/(352-(273+C8))/6.4)*$M$23</f>
        <v>3.5</v>
      </c>
      <c r="D9" s="18">
        <f t="shared" ref="D9:N9" si="1">((352)/(352-(273+D8))/6.4)*$M$23</f>
        <v>3.5</v>
      </c>
      <c r="E9" s="18">
        <f t="shared" si="1"/>
        <v>3.5386029411764719</v>
      </c>
      <c r="F9" s="18">
        <f t="shared" si="1"/>
        <v>3.604868913857679</v>
      </c>
      <c r="G9" s="18">
        <f t="shared" si="1"/>
        <v>3.6948176583493266</v>
      </c>
      <c r="H9" s="18">
        <f t="shared" si="1"/>
        <v>3.8118811881188113</v>
      </c>
      <c r="I9" s="18">
        <f t="shared" si="1"/>
        <v>3.8888888888888884</v>
      </c>
      <c r="J9" s="18">
        <f t="shared" si="1"/>
        <v>3.9205702647657819</v>
      </c>
      <c r="K9" s="18">
        <f t="shared" si="1"/>
        <v>3.8810483870967718</v>
      </c>
      <c r="L9" s="18">
        <f t="shared" si="1"/>
        <v>3.7893700787401561</v>
      </c>
      <c r="M9" s="18">
        <f t="shared" si="1"/>
        <v>3.666666666666667</v>
      </c>
      <c r="N9" s="18">
        <f t="shared" si="1"/>
        <v>3.5847299813780267</v>
      </c>
    </row>
    <row r="10" spans="1:16" x14ac:dyDescent="0.35">
      <c r="B10" s="38" t="s">
        <v>141</v>
      </c>
      <c r="C10" s="29">
        <v>17.2</v>
      </c>
      <c r="D10" s="29">
        <v>16.7</v>
      </c>
      <c r="E10" s="29">
        <v>18.899999999999999</v>
      </c>
      <c r="F10" s="29">
        <v>22.8</v>
      </c>
      <c r="G10" s="29">
        <v>26.1</v>
      </c>
      <c r="H10" s="29">
        <v>28.9</v>
      </c>
      <c r="I10" s="29">
        <v>30</v>
      </c>
      <c r="J10" s="29">
        <v>30</v>
      </c>
      <c r="K10" s="29">
        <v>29.4</v>
      </c>
      <c r="L10" s="29">
        <v>26.1</v>
      </c>
      <c r="M10" s="29">
        <v>22.2</v>
      </c>
      <c r="N10" s="29">
        <v>19.399999999999999</v>
      </c>
    </row>
    <row r="11" spans="1:16" x14ac:dyDescent="0.35">
      <c r="B11" t="s">
        <v>140</v>
      </c>
      <c r="C11" s="18">
        <f>((352)/(352-(273+C10))/6.4)*$M$23</f>
        <v>3.1148867313915849</v>
      </c>
      <c r="D11" s="18">
        <f t="shared" ref="D11:N11" si="2">((352)/(352-(273+D10))/6.4)*$M$23</f>
        <v>3.0898876404494375</v>
      </c>
      <c r="E11" s="18">
        <f t="shared" si="2"/>
        <v>3.202995008319466</v>
      </c>
      <c r="F11" s="18">
        <f t="shared" si="2"/>
        <v>3.4252669039145913</v>
      </c>
      <c r="G11" s="18">
        <f t="shared" si="2"/>
        <v>3.6389413988657857</v>
      </c>
      <c r="H11" s="18">
        <f t="shared" si="2"/>
        <v>3.8423153692614753</v>
      </c>
      <c r="I11" s="18">
        <f t="shared" si="2"/>
        <v>3.9285714285714284</v>
      </c>
      <c r="J11" s="18">
        <f t="shared" si="2"/>
        <v>3.9285714285714284</v>
      </c>
      <c r="K11" s="18">
        <f t="shared" si="2"/>
        <v>3.8810483870967718</v>
      </c>
      <c r="L11" s="18">
        <f t="shared" si="2"/>
        <v>3.6389413988657857</v>
      </c>
      <c r="M11" s="18">
        <f t="shared" si="2"/>
        <v>3.3890845070422531</v>
      </c>
      <c r="N11" s="18">
        <f t="shared" si="2"/>
        <v>3.2298657718120793</v>
      </c>
    </row>
    <row r="12" spans="1:16" x14ac:dyDescent="0.35">
      <c r="B12" s="38" t="s">
        <v>142</v>
      </c>
      <c r="C12" s="29">
        <v>7.5</v>
      </c>
      <c r="D12" s="29">
        <v>5.2</v>
      </c>
      <c r="E12" s="29">
        <v>7</v>
      </c>
      <c r="F12" s="29">
        <v>11.8</v>
      </c>
      <c r="G12" s="29">
        <v>17.3</v>
      </c>
      <c r="H12" s="29">
        <v>22.7</v>
      </c>
      <c r="I12" s="29">
        <v>25.6</v>
      </c>
      <c r="J12" s="29">
        <v>25.9</v>
      </c>
      <c r="K12" s="29">
        <v>24.2</v>
      </c>
      <c r="L12" s="29">
        <v>20.100000000000001</v>
      </c>
      <c r="M12" s="29">
        <v>14.4</v>
      </c>
      <c r="N12" s="29">
        <v>9.9</v>
      </c>
    </row>
    <row r="13" spans="1:16" x14ac:dyDescent="0.35">
      <c r="B13" t="s">
        <v>140</v>
      </c>
      <c r="C13" s="18">
        <f>((352)/(352-(273+C12))/6.4)*$M$23</f>
        <v>2.6923076923076925</v>
      </c>
      <c r="D13" s="18">
        <f t="shared" ref="D13:N13" si="3">((352)/(352-(273+D12))/6.4)*$M$23</f>
        <v>2.6084010840108394</v>
      </c>
      <c r="E13" s="18">
        <f t="shared" si="3"/>
        <v>2.6736111111111112</v>
      </c>
      <c r="F13" s="18">
        <f t="shared" si="3"/>
        <v>2.8645833333333335</v>
      </c>
      <c r="G13" s="18">
        <f t="shared" si="3"/>
        <v>3.1199351701782825</v>
      </c>
      <c r="H13" s="18">
        <f t="shared" si="3"/>
        <v>3.4191829484902296</v>
      </c>
      <c r="I13" s="18">
        <f t="shared" si="3"/>
        <v>3.604868913857679</v>
      </c>
      <c r="J13" s="18">
        <f t="shared" si="3"/>
        <v>3.6252354048964199</v>
      </c>
      <c r="K13" s="18">
        <f t="shared" si="3"/>
        <v>3.5127737226277365</v>
      </c>
      <c r="L13" s="18">
        <f t="shared" si="3"/>
        <v>3.2682512733446529</v>
      </c>
      <c r="M13" s="18">
        <f t="shared" si="3"/>
        <v>2.9798761609907105</v>
      </c>
      <c r="N13" s="18">
        <f t="shared" si="3"/>
        <v>2.7858176555716341</v>
      </c>
    </row>
    <row r="14" spans="1:16" x14ac:dyDescent="0.35">
      <c r="B14" s="38" t="s">
        <v>143</v>
      </c>
      <c r="C14" s="29">
        <v>24.7</v>
      </c>
      <c r="D14" s="29">
        <v>24.4</v>
      </c>
      <c r="E14" s="29">
        <v>24.3</v>
      </c>
      <c r="F14" s="29">
        <v>25</v>
      </c>
      <c r="G14" s="29">
        <v>25.5</v>
      </c>
      <c r="H14" s="29">
        <v>25.9</v>
      </c>
      <c r="I14" s="29">
        <v>26</v>
      </c>
      <c r="J14" s="29">
        <v>26.4</v>
      </c>
      <c r="K14" s="29">
        <v>26.9</v>
      </c>
      <c r="L14" s="29">
        <v>26.5</v>
      </c>
      <c r="M14" s="29">
        <v>25.9</v>
      </c>
      <c r="N14" s="29">
        <v>25</v>
      </c>
    </row>
    <row r="15" spans="1:16" x14ac:dyDescent="0.35">
      <c r="B15" t="s">
        <v>137</v>
      </c>
      <c r="C15" s="18">
        <f>((352)/(352-(273+C14))/6.4)*$M$23</f>
        <v>3.5451197053406984</v>
      </c>
      <c r="D15" s="18">
        <f t="shared" ref="D15:N15" si="4">((352)/(352-(273+D14))/6.4)*$M$23</f>
        <v>3.5256410256410238</v>
      </c>
      <c r="E15" s="18">
        <f t="shared" si="4"/>
        <v>3.5191956124314445</v>
      </c>
      <c r="F15" s="18">
        <f t="shared" si="4"/>
        <v>3.5648148148148144</v>
      </c>
      <c r="G15" s="18">
        <f t="shared" si="4"/>
        <v>3.5981308411214949</v>
      </c>
      <c r="H15" s="18">
        <f t="shared" si="4"/>
        <v>3.6252354048964199</v>
      </c>
      <c r="I15" s="18">
        <f t="shared" si="4"/>
        <v>3.632075471698113</v>
      </c>
      <c r="J15" s="18">
        <f t="shared" si="4"/>
        <v>3.6596958174904923</v>
      </c>
      <c r="K15" s="18">
        <f t="shared" si="4"/>
        <v>3.6948176583493266</v>
      </c>
      <c r="L15" s="18">
        <f t="shared" si="4"/>
        <v>3.666666666666667</v>
      </c>
      <c r="M15" s="18">
        <f t="shared" si="4"/>
        <v>3.6252354048964199</v>
      </c>
      <c r="N15" s="18">
        <f t="shared" si="4"/>
        <v>3.5648148148148144</v>
      </c>
    </row>
    <row r="18" spans="2:13" x14ac:dyDescent="0.35">
      <c r="B18" s="16" t="s">
        <v>144</v>
      </c>
    </row>
    <row r="20" spans="2:13" x14ac:dyDescent="0.35">
      <c r="B20" s="16" t="s">
        <v>145</v>
      </c>
    </row>
    <row r="21" spans="2:13" x14ac:dyDescent="0.35">
      <c r="B21" t="s">
        <v>146</v>
      </c>
    </row>
    <row r="22" spans="2:13" x14ac:dyDescent="0.35">
      <c r="B22" s="16" t="s">
        <v>147</v>
      </c>
    </row>
    <row r="23" spans="2:13" x14ac:dyDescent="0.35">
      <c r="B23" t="s">
        <v>148</v>
      </c>
      <c r="F23" t="s">
        <v>149</v>
      </c>
      <c r="J23" t="s">
        <v>150</v>
      </c>
      <c r="L23" s="16" t="s">
        <v>151</v>
      </c>
      <c r="M23" s="24">
        <f>Assumptions!B5</f>
        <v>3.5</v>
      </c>
    </row>
    <row r="24" spans="2:13" x14ac:dyDescent="0.35">
      <c r="B24" s="16" t="s">
        <v>152</v>
      </c>
      <c r="L24" s="16" t="s">
        <v>153</v>
      </c>
      <c r="M24" s="39">
        <f>(8.8/6.4)*M23</f>
        <v>4.8125</v>
      </c>
    </row>
    <row r="25" spans="2:13" x14ac:dyDescent="0.35">
      <c r="B25" t="s">
        <v>154</v>
      </c>
      <c r="F25" t="s">
        <v>155</v>
      </c>
      <c r="J25" t="s">
        <v>156</v>
      </c>
    </row>
    <row r="27" spans="2:13" x14ac:dyDescent="0.35">
      <c r="B27" s="16" t="s">
        <v>157</v>
      </c>
    </row>
    <row r="28" spans="2:13" x14ac:dyDescent="0.35">
      <c r="B28" t="s">
        <v>158</v>
      </c>
      <c r="F28" t="s">
        <v>159</v>
      </c>
    </row>
    <row r="29" spans="2:13" x14ac:dyDescent="0.35">
      <c r="B29" t="s">
        <v>160</v>
      </c>
    </row>
    <row r="30" spans="2:13" x14ac:dyDescent="0.35">
      <c r="B30" t="s">
        <v>161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97B6B6482A643B72B2AEA4AF85BA9" ma:contentTypeVersion="10" ma:contentTypeDescription="Create a new document." ma:contentTypeScope="" ma:versionID="8aec7b3dc37e60dd09ba7e2c84d56f1c">
  <xsd:schema xmlns:xsd="http://www.w3.org/2001/XMLSchema" xmlns:xs="http://www.w3.org/2001/XMLSchema" xmlns:p="http://schemas.microsoft.com/office/2006/metadata/properties" xmlns:ns1="http://schemas.microsoft.com/sharepoint/v3" xmlns:ns2="aea6319c-d19b-4de9-af43-fb6354d6a9b4" targetNamespace="http://schemas.microsoft.com/office/2006/metadata/properties" ma:root="true" ma:fieldsID="277f5b562b3130c2cdb8175ee027b643" ns1:_="" ns2:_="">
    <xsd:import namespace="http://schemas.microsoft.com/sharepoint/v3"/>
    <xsd:import namespace="aea6319c-d19b-4de9-af43-fb6354d6a9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6319c-d19b-4de9-af43-fb6354d6a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C8A385F-A6A4-4488-99FE-D49B2D2CD6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ea6319c-d19b-4de9-af43-fb6354d6a9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B90DC6-2444-45E9-9BB3-D39DAC0FF2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61D1D0-68B8-4043-A807-267D7E7783D3}">
  <ds:schemaRefs>
    <ds:schemaRef ds:uri="http://schemas.microsoft.com/office/infopath/2007/PartnerControls"/>
    <ds:schemaRef ds:uri="http://purl.org/dc/dcmitype/"/>
    <ds:schemaRef ds:uri="aea6319c-d19b-4de9-af43-fb6354d6a9b4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Seawater Report_SanDiego</vt:lpstr>
      <vt:lpstr>COP &amp; Temps SWFO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Webley</dc:creator>
  <cp:keywords/>
  <dc:description/>
  <cp:lastModifiedBy>Bharath Ramakrishnan</cp:lastModifiedBy>
  <cp:revision/>
  <dcterms:created xsi:type="dcterms:W3CDTF">2025-04-22T12:21:42Z</dcterms:created>
  <dcterms:modified xsi:type="dcterms:W3CDTF">2025-06-03T20:27:40Z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0x010100A2197B6B6482A643B72B2AEA4AF85BA9</vt:lpwstr>
  </property>
</Properties>
</file>