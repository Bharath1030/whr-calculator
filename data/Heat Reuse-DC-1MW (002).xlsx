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hramak\whr-calculator\data\"/>
    </mc:Choice>
  </mc:AlternateContent>
  <xr:revisionPtr revIDLastSave="0" documentId="8_{D226D11B-0477-4058-A6A3-34AE7162599C}" xr6:coauthVersionLast="47" xr6:coauthVersionMax="47" xr10:uidLastSave="{00000000-0000-0000-0000-000000000000}"/>
  <bookViews>
    <workbookView xWindow="-28920" yWindow="7740" windowWidth="29040" windowHeight="15720" xr2:uid="{00000000-000D-0000-FFFF-FFFF00000000}"/>
  </bookViews>
  <sheets>
    <sheet name="Heat Reuse - PUE,WUE,CUE,ERF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2" l="1"/>
  <c r="O8" i="12"/>
  <c r="O9" i="12"/>
  <c r="O10" i="12"/>
  <c r="O6" i="12"/>
  <c r="Z6" i="12"/>
  <c r="Y10" i="12"/>
  <c r="Y8" i="12"/>
  <c r="S10" i="12"/>
  <c r="S8" i="12"/>
  <c r="E10" i="12"/>
  <c r="D10" i="12"/>
  <c r="E9" i="12"/>
  <c r="D9" i="12"/>
  <c r="H9" i="12" s="1"/>
  <c r="E8" i="12"/>
  <c r="D8" i="12"/>
  <c r="E7" i="12"/>
  <c r="D7" i="12"/>
  <c r="H7" i="12" s="1"/>
  <c r="E6" i="12"/>
  <c r="D6" i="12"/>
  <c r="H6" i="12" s="1"/>
  <c r="I6" i="12" s="1"/>
  <c r="K6" i="12" s="1"/>
  <c r="L6" i="12" s="1"/>
  <c r="Z8" i="12" l="1"/>
  <c r="Z10" i="12"/>
  <c r="M6" i="12"/>
  <c r="F10" i="12"/>
  <c r="AB10" i="12" s="1"/>
  <c r="AD10" i="12" s="1"/>
  <c r="AE10" i="12" s="1"/>
  <c r="H10" i="12"/>
  <c r="I10" i="12" s="1"/>
  <c r="I9" i="12"/>
  <c r="I7" i="12"/>
  <c r="F8" i="12"/>
  <c r="AB8" i="12" s="1"/>
  <c r="AD8" i="12" s="1"/>
  <c r="AE8" i="12" s="1"/>
  <c r="H8" i="12"/>
  <c r="F6" i="12"/>
  <c r="AB6" i="12" s="1"/>
  <c r="AD6" i="12" s="1"/>
  <c r="AE6" i="12" s="1"/>
  <c r="F9" i="12"/>
  <c r="AB9" i="12" s="1"/>
  <c r="AD9" i="12" s="1"/>
  <c r="AE9" i="12" s="1"/>
  <c r="F7" i="12"/>
  <c r="AB7" i="12" s="1"/>
  <c r="AD7" i="12" s="1"/>
  <c r="AE7" i="12" s="1"/>
  <c r="V6" i="12" l="1"/>
  <c r="W6" i="12" s="1"/>
  <c r="AF6" i="12"/>
  <c r="AH6" i="12" s="1"/>
  <c r="AI6" i="12" s="1"/>
  <c r="K9" i="12"/>
  <c r="L9" i="12" s="1"/>
  <c r="M9" i="12" s="1"/>
  <c r="K7" i="12"/>
  <c r="L7" i="12" s="1"/>
  <c r="M7" i="12" s="1"/>
  <c r="K10" i="12"/>
  <c r="L10" i="12" s="1"/>
  <c r="M10" i="12" s="1"/>
  <c r="I8" i="12"/>
  <c r="G9" i="12"/>
  <c r="P9" i="12"/>
  <c r="Q9" i="12" s="1"/>
  <c r="S9" i="12" s="1"/>
  <c r="T9" i="12" s="1"/>
  <c r="G6" i="12"/>
  <c r="P6" i="12"/>
  <c r="Q6" i="12" s="1"/>
  <c r="T6" i="12" s="1"/>
  <c r="G7" i="12"/>
  <c r="P7" i="12"/>
  <c r="Q7" i="12" s="1"/>
  <c r="S7" i="12" s="1"/>
  <c r="T7" i="12" s="1"/>
  <c r="G8" i="12"/>
  <c r="P8" i="12"/>
  <c r="Q8" i="12" s="1"/>
  <c r="T8" i="12" s="1"/>
  <c r="G10" i="12"/>
  <c r="P10" i="12"/>
  <c r="Q10" i="12" s="1"/>
  <c r="T10" i="12" s="1"/>
  <c r="V10" i="12" l="1"/>
  <c r="W10" i="12" s="1"/>
  <c r="AF10" i="12"/>
  <c r="AH10" i="12" s="1"/>
  <c r="AI10" i="12" s="1"/>
  <c r="V7" i="12"/>
  <c r="W7" i="12" s="1"/>
  <c r="Y7" i="12" s="1"/>
  <c r="AF7" i="12"/>
  <c r="AH7" i="12" s="1"/>
  <c r="AI7" i="12" s="1"/>
  <c r="V9" i="12"/>
  <c r="W9" i="12" s="1"/>
  <c r="Y9" i="12" s="1"/>
  <c r="AF9" i="12"/>
  <c r="AH9" i="12" s="1"/>
  <c r="AI9" i="12" s="1"/>
  <c r="K8" i="12"/>
  <c r="L8" i="12" s="1"/>
  <c r="M8" i="12" s="1"/>
  <c r="Z7" i="12"/>
  <c r="Z9" i="12"/>
  <c r="V8" i="12" l="1"/>
  <c r="W8" i="12" s="1"/>
  <c r="AF8" i="12"/>
  <c r="AH8" i="12" s="1"/>
  <c r="AI8" i="12" s="1"/>
</calcChain>
</file>

<file path=xl/sharedStrings.xml><?xml version="1.0" encoding="utf-8"?>
<sst xmlns="http://schemas.openxmlformats.org/spreadsheetml/2006/main" count="106" uniqueCount="65">
  <si>
    <t>kW</t>
  </si>
  <si>
    <t>PUE</t>
  </si>
  <si>
    <t>Scenario</t>
  </si>
  <si>
    <t>Heat Rejection</t>
  </si>
  <si>
    <t>kWh</t>
  </si>
  <si>
    <t>Capacity</t>
  </si>
  <si>
    <t>Total Power</t>
  </si>
  <si>
    <t>Baseline PUE Calculation without Heat Reuse</t>
  </si>
  <si>
    <t>Annual Enery usage</t>
  </si>
  <si>
    <t>Total Energy usage</t>
  </si>
  <si>
    <t>Annual Water Usage</t>
  </si>
  <si>
    <t>Ltrs</t>
  </si>
  <si>
    <t>WUE</t>
  </si>
  <si>
    <t>Ltrs/kWh</t>
  </si>
  <si>
    <t xml:space="preserve">Baseline WUE Calculation </t>
  </si>
  <si>
    <t xml:space="preserve">Baseline CUE Calculation </t>
  </si>
  <si>
    <t>Annaul Total Power Consumption</t>
  </si>
  <si>
    <t>kg of CO2 per kWh</t>
  </si>
  <si>
    <t>(kg)</t>
  </si>
  <si>
    <t>Total CO2 
Emissions </t>
  </si>
  <si>
    <t>Baseline Power Consumptions Calculation for Frankfurt, Germany - Climate Zone: 5A ( Refer ASHRAE 164 &amp; 90.4)</t>
  </si>
  <si>
    <t>Air Cooled, H1 - Class, Server Inlet 22C for air</t>
  </si>
  <si>
    <t>Unitless</t>
  </si>
  <si>
    <t>Remarks</t>
  </si>
  <si>
    <t>Water Cooled, H1 - Class, Server Inlet 22C for air</t>
  </si>
  <si>
    <t>MLC - 0.420 &amp; ELC - 0.170</t>
  </si>
  <si>
    <t>MLC - 0.31 &amp; ELC - 0.155 (Reduced because of cooling system)</t>
  </si>
  <si>
    <t xml:space="preserve">MLC </t>
  </si>
  <si>
    <t xml:space="preserve">ELC </t>
  </si>
  <si>
    <t>Air Cooled - TC 9.9 W32, 26C for liquid, 75% 25% - Optimized Air + DCLC Hybrid</t>
  </si>
  <si>
    <t>Water Cooled - TC 9.9 W32, 26C for liquid, 75% 25% -Water-Cooled + Tower + DCLC</t>
  </si>
  <si>
    <t>Water Cooled - TC 9.9 W32, 26C for liquid, 75% 25% - Dry Cooler + DCLC</t>
  </si>
  <si>
    <t>MLC - 0.19 &amp; ELC - 0.15 (Reduced because of cooling system) - Pumping Share -18%</t>
  </si>
  <si>
    <t>MLC - 0.16 &amp; ELC - 0.14 (Reduced because of cooling system) - Pumping Share -25%</t>
  </si>
  <si>
    <t>MLC - 0.09 &amp; ELC - 0.14 (Reduced because of cooling system) - Pumping Share -25%</t>
  </si>
  <si>
    <t>Pump Power</t>
  </si>
  <si>
    <t>Heat Repurposed</t>
  </si>
  <si>
    <t>Pumping Power Requried to RePurpose the heat</t>
  </si>
  <si>
    <t>Pump - ∆T = 5°C, H = 25 m, η = 0.70</t>
  </si>
  <si>
    <t>Heat ReUse - PUE</t>
  </si>
  <si>
    <t>Water Consumed</t>
  </si>
  <si>
    <t>1. WUE - https://journal.uptimeinstitute.com/dont-ignore-water-consumption/</t>
  </si>
  <si>
    <t xml:space="preserve">humidification, Airflow: 400,000 CFM, 4 L per 1000 CFM per hour, ~4,000 hours/year </t>
  </si>
  <si>
    <t>liters/kWh</t>
  </si>
  <si>
    <t>2. https://dgtlinfra.com/data-center-water-usage/#:~:text=According%20to%20Meta%20Platforms%20(formerly,of%20water%20were%20used%20for</t>
  </si>
  <si>
    <t>Refer the artice for the refrence below</t>
  </si>
  <si>
    <t xml:space="preserve">humidification, Airflow: 120,000 CFM, 4 L per 1000 CFM per hour, ~4,000 hours/year </t>
  </si>
  <si>
    <t>WUE Calculation - Heat Reuse</t>
  </si>
  <si>
    <t>WUE ↑↓</t>
  </si>
  <si>
    <t>CUE Calculation - Heat Reuse</t>
  </si>
  <si>
    <t>CUE</t>
  </si>
  <si>
    <t>kg CO₂ / kWh</t>
  </si>
  <si>
    <t>CUE ↑↓</t>
  </si>
  <si>
    <t>2023 Average: Approximately 354 grams of CO₂ per kWh.</t>
  </si>
  <si>
    <t>PUE Calculation with Heat Reuse</t>
  </si>
  <si>
    <t>Notes :</t>
  </si>
  <si>
    <t>1. Additional scenarios modeled:
2. Water-cooled system @ 22°C: PUE = 1.465
3. Air + DCLC Hybrid (75% liquid + 25% Air) @ 26°C: PUE = 1.345
4. Water + DCLC Hybrid: PUE = 1.30
5. Dry Cooler + DCLC (75% Liquid+25%): PUE = 1.23</t>
  </si>
  <si>
    <t>6. Pump % of MLC:8%</t>
  </si>
  <si>
    <t xml:space="preserve">7. Pump Power : for heat reuse P 
pump = η*1000*m / g⋅H
 </t>
  </si>
  <si>
    <t>8. Air-cooled chiller system = 0.02 liters per kWh (only humidity considered</t>
  </si>
  <si>
    <t>9. Water Cooled chiller system = 1.8 Liters per KWh, refer the below reference</t>
  </si>
  <si>
    <t>10. CUE Grid Emission Factor (Frankfurt, 2023): 0.386 kg CO₂/kWh
(Source: Umweltbundesamt, German EPA)</t>
  </si>
  <si>
    <t>Links</t>
  </si>
  <si>
    <t>ERF</t>
  </si>
  <si>
    <t>ReUsed Energy / Total DC energy consumption (IT+Infra)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</si>
</sst>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EF8F-4F02-4FA8-9178-DF668FFEEA0A}">
  <dimension ref="B2:AJ24"/>
  <sheetViews>
    <sheetView tabSelected="1" zoomScale="90" zoomScaleNormal="90" workbookViewId="0">
      <selection activeCell="M15" sqref="M15"/>
    </sheetView>
  </sheetViews>
  <sheetFormatPr defaultRowHeight="14.5" x14ac:dyDescent="0.35"/>
  <cols>
    <col min="2" max="2" width="50" customWidth="1"/>
    <col min="4" max="4" width="13.08984375" bestFit="1" customWidth="1"/>
    <col min="5" max="5" width="16.54296875" bestFit="1" customWidth="1"/>
    <col min="6" max="6" width="10.08984375" customWidth="1"/>
    <col min="7" max="7" width="11.453125" bestFit="1" customWidth="1"/>
    <col min="8" max="8" width="10.90625" bestFit="1" customWidth="1"/>
    <col min="9" max="9" width="15.1796875" customWidth="1"/>
    <col min="10" max="10" width="38.6328125" customWidth="1"/>
    <col min="11" max="11" width="18.08984375" customWidth="1"/>
    <col min="12" max="12" width="24" customWidth="1"/>
    <col min="13" max="13" width="16.08984375" bestFit="1" customWidth="1"/>
    <col min="14" max="14" width="30.90625" bestFit="1" customWidth="1"/>
    <col min="15" max="15" width="30.90625" customWidth="1"/>
    <col min="17" max="17" width="13" customWidth="1"/>
    <col min="18" max="18" width="12.453125" customWidth="1"/>
    <col min="19" max="19" width="13.453125" customWidth="1"/>
    <col min="20" max="20" width="10.36328125" customWidth="1"/>
    <col min="21" max="21" width="62" customWidth="1"/>
    <col min="22" max="24" width="17.81640625" customWidth="1"/>
    <col min="25" max="25" width="14.1796875" customWidth="1"/>
    <col min="26" max="26" width="17.81640625" customWidth="1"/>
    <col min="27" max="27" width="39.08984375" customWidth="1"/>
    <col min="28" max="28" width="18.453125" customWidth="1"/>
    <col min="29" max="29" width="14.90625" customWidth="1"/>
    <col min="30" max="31" width="16.6328125" customWidth="1"/>
    <col min="32" max="32" width="18.453125" customWidth="1"/>
    <col min="33" max="33" width="14.90625" customWidth="1"/>
    <col min="34" max="35" width="16.6328125" customWidth="1"/>
    <col min="36" max="36" width="39.08984375" customWidth="1"/>
  </cols>
  <sheetData>
    <row r="2" spans="2:36" s="2" customFormat="1" ht="20.399999999999999" customHeight="1" x14ac:dyDescent="0.35">
      <c r="B2" s="15" t="s">
        <v>20</v>
      </c>
      <c r="C2" s="15"/>
      <c r="D2" s="15"/>
      <c r="E2" s="15"/>
      <c r="F2" s="15"/>
      <c r="G2" s="15"/>
      <c r="H2" s="15"/>
      <c r="I2" s="15"/>
      <c r="J2" s="15"/>
      <c r="K2" s="5"/>
      <c r="L2" s="5"/>
      <c r="M2" s="5"/>
      <c r="N2" s="5"/>
      <c r="O2" s="5"/>
      <c r="AB2" s="5"/>
      <c r="AC2" s="5"/>
      <c r="AD2" s="5"/>
      <c r="AE2" s="5"/>
      <c r="AF2" s="5"/>
      <c r="AG2" s="5"/>
      <c r="AH2" s="5"/>
      <c r="AI2" s="5"/>
    </row>
    <row r="3" spans="2:36" s="2" customFormat="1" ht="20.399999999999999" customHeight="1" x14ac:dyDescent="0.35">
      <c r="B3" s="15" t="s">
        <v>7</v>
      </c>
      <c r="C3" s="15"/>
      <c r="D3" s="15"/>
      <c r="E3" s="15"/>
      <c r="F3" s="15"/>
      <c r="G3" s="15"/>
      <c r="H3" s="15"/>
      <c r="I3" s="15"/>
      <c r="J3" s="15"/>
      <c r="K3" s="16" t="s">
        <v>54</v>
      </c>
      <c r="L3" s="17"/>
      <c r="M3" s="17"/>
      <c r="N3" s="18"/>
      <c r="O3" s="3" t="s">
        <v>63</v>
      </c>
      <c r="P3" s="15" t="s">
        <v>14</v>
      </c>
      <c r="Q3" s="15"/>
      <c r="R3" s="15"/>
      <c r="S3" s="15"/>
      <c r="T3" s="15"/>
      <c r="U3" s="3"/>
      <c r="V3" s="15" t="s">
        <v>47</v>
      </c>
      <c r="W3" s="15"/>
      <c r="X3" s="15"/>
      <c r="Y3" s="15"/>
      <c r="Z3" s="15"/>
      <c r="AA3" s="3"/>
      <c r="AB3" s="16" t="s">
        <v>15</v>
      </c>
      <c r="AC3" s="17"/>
      <c r="AD3" s="17"/>
      <c r="AE3" s="18"/>
      <c r="AF3" s="15" t="s">
        <v>49</v>
      </c>
      <c r="AG3" s="15"/>
      <c r="AH3" s="15"/>
      <c r="AI3" s="15"/>
      <c r="AJ3" s="3"/>
    </row>
    <row r="4" spans="2:36" s="5" customFormat="1" ht="49.25" customHeight="1" x14ac:dyDescent="0.35">
      <c r="B4" s="3" t="s">
        <v>2</v>
      </c>
      <c r="C4" s="3" t="s">
        <v>5</v>
      </c>
      <c r="D4" s="3" t="s">
        <v>27</v>
      </c>
      <c r="E4" s="3" t="s">
        <v>28</v>
      </c>
      <c r="F4" s="6" t="s">
        <v>6</v>
      </c>
      <c r="G4" s="3" t="s">
        <v>1</v>
      </c>
      <c r="H4" s="3" t="s">
        <v>35</v>
      </c>
      <c r="I4" s="3" t="s">
        <v>3</v>
      </c>
      <c r="J4" s="3" t="s">
        <v>23</v>
      </c>
      <c r="K4" s="3" t="s">
        <v>36</v>
      </c>
      <c r="L4" s="6" t="s">
        <v>37</v>
      </c>
      <c r="M4" s="6" t="s">
        <v>39</v>
      </c>
      <c r="N4" s="3" t="s">
        <v>23</v>
      </c>
      <c r="O4" s="6" t="s">
        <v>64</v>
      </c>
      <c r="P4" s="6" t="s">
        <v>9</v>
      </c>
      <c r="Q4" s="6" t="s">
        <v>8</v>
      </c>
      <c r="R4" s="6" t="s">
        <v>40</v>
      </c>
      <c r="S4" s="4" t="s">
        <v>10</v>
      </c>
      <c r="T4" s="6" t="s">
        <v>12</v>
      </c>
      <c r="U4" s="6" t="s">
        <v>23</v>
      </c>
      <c r="V4" s="6" t="s">
        <v>9</v>
      </c>
      <c r="W4" s="6" t="s">
        <v>8</v>
      </c>
      <c r="X4" s="6" t="s">
        <v>40</v>
      </c>
      <c r="Y4" s="4" t="s">
        <v>10</v>
      </c>
      <c r="Z4" s="6" t="s">
        <v>48</v>
      </c>
      <c r="AA4" s="6" t="s">
        <v>23</v>
      </c>
      <c r="AB4" s="4" t="s">
        <v>16</v>
      </c>
      <c r="AC4" s="6" t="s">
        <v>17</v>
      </c>
      <c r="AD4" s="4" t="s">
        <v>19</v>
      </c>
      <c r="AE4" s="4" t="s">
        <v>50</v>
      </c>
      <c r="AF4" s="4" t="s">
        <v>16</v>
      </c>
      <c r="AG4" s="6" t="s">
        <v>17</v>
      </c>
      <c r="AH4" s="4" t="s">
        <v>19</v>
      </c>
      <c r="AI4" s="4" t="s">
        <v>52</v>
      </c>
      <c r="AJ4" s="6" t="s">
        <v>23</v>
      </c>
    </row>
    <row r="5" spans="2:36" s="2" customFormat="1" ht="19.75" customHeight="1" x14ac:dyDescent="0.35">
      <c r="B5" s="3"/>
      <c r="C5" s="3" t="s">
        <v>0</v>
      </c>
      <c r="D5" s="3" t="s">
        <v>0</v>
      </c>
      <c r="E5" s="3" t="s">
        <v>0</v>
      </c>
      <c r="F5" s="3" t="s">
        <v>0</v>
      </c>
      <c r="G5" s="3" t="s">
        <v>22</v>
      </c>
      <c r="H5" s="3" t="s">
        <v>0</v>
      </c>
      <c r="I5" s="3" t="s">
        <v>0</v>
      </c>
      <c r="J5" s="3"/>
      <c r="K5" s="3" t="s">
        <v>0</v>
      </c>
      <c r="L5" s="3" t="s">
        <v>0</v>
      </c>
      <c r="M5" s="3" t="s">
        <v>22</v>
      </c>
      <c r="N5" s="3"/>
      <c r="O5" s="3" t="s">
        <v>22</v>
      </c>
      <c r="P5" s="3" t="s">
        <v>0</v>
      </c>
      <c r="Q5" s="3" t="s">
        <v>4</v>
      </c>
      <c r="R5" s="8" t="s">
        <v>43</v>
      </c>
      <c r="S5" s="3" t="s">
        <v>11</v>
      </c>
      <c r="T5" s="3" t="s">
        <v>13</v>
      </c>
      <c r="U5" s="3"/>
      <c r="V5" s="3" t="s">
        <v>0</v>
      </c>
      <c r="W5" s="3" t="s">
        <v>4</v>
      </c>
      <c r="X5" s="8" t="s">
        <v>43</v>
      </c>
      <c r="Y5" s="3" t="s">
        <v>11</v>
      </c>
      <c r="Z5" s="3" t="s">
        <v>13</v>
      </c>
      <c r="AA5" s="3"/>
      <c r="AB5" s="3" t="s">
        <v>4</v>
      </c>
      <c r="AC5" s="3"/>
      <c r="AD5" s="3" t="s">
        <v>18</v>
      </c>
      <c r="AE5" s="3" t="s">
        <v>51</v>
      </c>
      <c r="AF5" s="3" t="s">
        <v>4</v>
      </c>
      <c r="AG5" s="3"/>
      <c r="AH5" s="3" t="s">
        <v>18</v>
      </c>
      <c r="AI5" s="3" t="s">
        <v>51</v>
      </c>
      <c r="AJ5" s="3"/>
    </row>
    <row r="6" spans="2:36" s="5" customFormat="1" ht="33" customHeight="1" x14ac:dyDescent="0.35">
      <c r="B6" s="3" t="s">
        <v>21</v>
      </c>
      <c r="C6" s="3">
        <v>1000</v>
      </c>
      <c r="D6" s="3">
        <f>C6*0.42</f>
        <v>420</v>
      </c>
      <c r="E6" s="3">
        <f>C6*0.17</f>
        <v>170</v>
      </c>
      <c r="F6" s="3">
        <f>C6+D6+E6</f>
        <v>1590</v>
      </c>
      <c r="G6" s="3">
        <f>F6/1000</f>
        <v>1.59</v>
      </c>
      <c r="H6" s="3">
        <f>D6*8%</f>
        <v>33.6</v>
      </c>
      <c r="I6" s="3">
        <f>D6-H6</f>
        <v>386.4</v>
      </c>
      <c r="J6" s="3" t="s">
        <v>25</v>
      </c>
      <c r="K6" s="3">
        <f>I6</f>
        <v>386.4</v>
      </c>
      <c r="L6" s="10">
        <f>((K6/(4.186*5))*9.81*25/(0.7*1000))</f>
        <v>6.4681318681318682</v>
      </c>
      <c r="M6" s="9">
        <f>(C6+H6+L6)/C6</f>
        <v>1.0400681318681317</v>
      </c>
      <c r="N6" s="6" t="s">
        <v>38</v>
      </c>
      <c r="O6" s="14">
        <f>K6/F6</f>
        <v>0.24301886792452829</v>
      </c>
      <c r="P6" s="3">
        <f>F6</f>
        <v>1590</v>
      </c>
      <c r="Q6" s="3">
        <f>P6*8760</f>
        <v>13928400</v>
      </c>
      <c r="R6" s="8"/>
      <c r="S6" s="12">
        <v>5000000</v>
      </c>
      <c r="T6" s="3">
        <f>S6/Q6</f>
        <v>0.35897877717469345</v>
      </c>
      <c r="U6" s="6" t="s">
        <v>42</v>
      </c>
      <c r="V6" s="6">
        <f>M6*C6</f>
        <v>1040.0681318681318</v>
      </c>
      <c r="W6" s="3">
        <f>V6*8760</f>
        <v>9110996.8351648338</v>
      </c>
      <c r="X6" s="8"/>
      <c r="Y6" s="12">
        <v>5000000</v>
      </c>
      <c r="Z6" s="11">
        <f>IFERROR((Y6-S6)/S6, 0)</f>
        <v>0</v>
      </c>
      <c r="AA6" s="6" t="s">
        <v>42</v>
      </c>
      <c r="AB6" s="3">
        <f>F6*8760</f>
        <v>13928400</v>
      </c>
      <c r="AC6" s="3">
        <v>0.38600000000000001</v>
      </c>
      <c r="AD6" s="3">
        <f>AB6*AC6</f>
        <v>5376362.4000000004</v>
      </c>
      <c r="AE6" s="3">
        <f>AD6/AB6</f>
        <v>0.38600000000000001</v>
      </c>
      <c r="AF6" s="3">
        <f>M6*8760</f>
        <v>9110.9968351648349</v>
      </c>
      <c r="AG6" s="3">
        <v>0.38600000000000001</v>
      </c>
      <c r="AH6" s="3">
        <f>AF6*AG6</f>
        <v>3516.8447783736265</v>
      </c>
      <c r="AI6" s="11">
        <f>IFERROR((AH6-AD6)/AB6, 0)</f>
        <v>-0.38574750547238928</v>
      </c>
      <c r="AJ6" s="6" t="s">
        <v>53</v>
      </c>
    </row>
    <row r="7" spans="2:36" s="2" customFormat="1" ht="33" customHeight="1" x14ac:dyDescent="0.35">
      <c r="B7" s="3" t="s">
        <v>24</v>
      </c>
      <c r="C7" s="3">
        <v>1000</v>
      </c>
      <c r="D7" s="3">
        <f>C7*0.31</f>
        <v>310</v>
      </c>
      <c r="E7" s="3">
        <f>C7*0.155</f>
        <v>155</v>
      </c>
      <c r="F7" s="3">
        <f>C7+D7+E7</f>
        <v>1465</v>
      </c>
      <c r="G7" s="3">
        <f>F7/1000</f>
        <v>1.4650000000000001</v>
      </c>
      <c r="H7" s="3">
        <f>D7*0.15</f>
        <v>46.5</v>
      </c>
      <c r="I7" s="3">
        <f t="shared" ref="I7:I10" si="0">D7-H7</f>
        <v>263.5</v>
      </c>
      <c r="J7" s="6" t="s">
        <v>26</v>
      </c>
      <c r="K7" s="3">
        <f t="shared" ref="K7:K10" si="1">I7</f>
        <v>263.5</v>
      </c>
      <c r="L7" s="10">
        <f t="shared" ref="L7:L10" si="2">((K7/(4.186*5))*9.81*25/(0.7*1000))</f>
        <v>4.4108507951675655</v>
      </c>
      <c r="M7" s="9">
        <f t="shared" ref="M7:M10" si="3">(C7+H7+L7)/C7</f>
        <v>1.0509108507951677</v>
      </c>
      <c r="N7" s="6" t="s">
        <v>38</v>
      </c>
      <c r="O7" s="14">
        <f t="shared" ref="O7:O10" si="4">K7/F7</f>
        <v>0.17986348122866894</v>
      </c>
      <c r="P7" s="3">
        <f t="shared" ref="P7:P10" si="5">F7</f>
        <v>1465</v>
      </c>
      <c r="Q7" s="3">
        <f>P7*8760</f>
        <v>12833400</v>
      </c>
      <c r="R7" s="3">
        <v>1.8</v>
      </c>
      <c r="S7" s="3">
        <f>R7*Q7</f>
        <v>23100120</v>
      </c>
      <c r="T7" s="3">
        <f>S7/Q7</f>
        <v>1.8</v>
      </c>
      <c r="U7" s="3" t="s">
        <v>45</v>
      </c>
      <c r="V7" s="6">
        <f t="shared" ref="V7:V10" si="6">M7*C7</f>
        <v>1050.9108507951676</v>
      </c>
      <c r="W7" s="3">
        <f t="shared" ref="W7:W10" si="7">V7*8760</f>
        <v>9205979.0529656671</v>
      </c>
      <c r="X7" s="3">
        <v>1.8</v>
      </c>
      <c r="Y7" s="3">
        <f>X7*W7</f>
        <v>16570762.2953382</v>
      </c>
      <c r="Z7" s="7">
        <f t="shared" ref="Z7:Z10" si="8">IFERROR((Y7-S7)/S7, 0)</f>
        <v>-0.2826547093548345</v>
      </c>
      <c r="AA7" s="3" t="s">
        <v>45</v>
      </c>
      <c r="AB7" s="3">
        <f t="shared" ref="AB7:AB10" si="9">F7*8760</f>
        <v>12833400</v>
      </c>
      <c r="AC7" s="3">
        <v>0.38600000000000001</v>
      </c>
      <c r="AD7" s="3">
        <f t="shared" ref="AD7:AD10" si="10">AB7*AC7</f>
        <v>4953692.4000000004</v>
      </c>
      <c r="AE7" s="3">
        <f t="shared" ref="AE7:AE10" si="11">AD7/AB7</f>
        <v>0.38600000000000001</v>
      </c>
      <c r="AF7" s="3">
        <f t="shared" ref="AF7:AF10" si="12">M7*8760</f>
        <v>9205.9790529656693</v>
      </c>
      <c r="AG7" s="3">
        <v>0.38600000000000001</v>
      </c>
      <c r="AH7" s="3">
        <f t="shared" ref="AH7:AH10" si="13">AF7*AG7</f>
        <v>3553.5079144447486</v>
      </c>
      <c r="AI7" s="11">
        <f t="shared" ref="AI7:AI10" si="14">IFERROR((AH7-AD7)/AB7, 0)</f>
        <v>-0.38572310471781102</v>
      </c>
      <c r="AJ7" s="3"/>
    </row>
    <row r="8" spans="2:36" s="2" customFormat="1" ht="33" customHeight="1" x14ac:dyDescent="0.35">
      <c r="B8" s="6" t="s">
        <v>29</v>
      </c>
      <c r="C8" s="3">
        <v>1000</v>
      </c>
      <c r="D8" s="3">
        <f>C8*0.19</f>
        <v>190</v>
      </c>
      <c r="E8" s="3">
        <f>C8*0.155</f>
        <v>155</v>
      </c>
      <c r="F8" s="3">
        <f>C8+D8+E8</f>
        <v>1345</v>
      </c>
      <c r="G8" s="3">
        <f>F8/1000</f>
        <v>1.345</v>
      </c>
      <c r="H8" s="3">
        <f>D8*0.18</f>
        <v>34.199999999999996</v>
      </c>
      <c r="I8" s="3">
        <f t="shared" si="0"/>
        <v>155.80000000000001</v>
      </c>
      <c r="J8" s="6" t="s">
        <v>32</v>
      </c>
      <c r="K8" s="3">
        <f t="shared" si="1"/>
        <v>155.80000000000001</v>
      </c>
      <c r="L8" s="10">
        <f t="shared" si="2"/>
        <v>2.6080096921711831</v>
      </c>
      <c r="M8" s="9">
        <f t="shared" si="3"/>
        <v>1.0368080096921712</v>
      </c>
      <c r="N8" s="6" t="s">
        <v>38</v>
      </c>
      <c r="O8" s="14">
        <f t="shared" si="4"/>
        <v>0.1158364312267658</v>
      </c>
      <c r="P8" s="3">
        <f t="shared" si="5"/>
        <v>1345</v>
      </c>
      <c r="Q8" s="3">
        <f>P8*8760</f>
        <v>11782200</v>
      </c>
      <c r="R8" s="8"/>
      <c r="S8" s="12">
        <f>S6*0.3</f>
        <v>1500000</v>
      </c>
      <c r="T8" s="3">
        <f>S8/Q8</f>
        <v>0.1273106890054489</v>
      </c>
      <c r="U8" s="6" t="s">
        <v>46</v>
      </c>
      <c r="V8" s="6">
        <f t="shared" si="6"/>
        <v>1036.8080096921713</v>
      </c>
      <c r="W8" s="3">
        <f t="shared" si="7"/>
        <v>9082438.164903421</v>
      </c>
      <c r="X8" s="6"/>
      <c r="Y8" s="12">
        <f>Y6*0.3</f>
        <v>1500000</v>
      </c>
      <c r="Z8" s="7">
        <f t="shared" si="8"/>
        <v>0</v>
      </c>
      <c r="AA8" s="6" t="s">
        <v>46</v>
      </c>
      <c r="AB8" s="3">
        <f t="shared" si="9"/>
        <v>11782200</v>
      </c>
      <c r="AC8" s="3">
        <v>0.38600000000000001</v>
      </c>
      <c r="AD8" s="3">
        <f t="shared" si="10"/>
        <v>4547929.2</v>
      </c>
      <c r="AE8" s="3">
        <f t="shared" si="11"/>
        <v>0.38600000000000001</v>
      </c>
      <c r="AF8" s="3">
        <f t="shared" si="12"/>
        <v>9082.4381649034203</v>
      </c>
      <c r="AG8" s="3">
        <v>0.38600000000000001</v>
      </c>
      <c r="AH8" s="3">
        <f t="shared" si="13"/>
        <v>3505.8211316527204</v>
      </c>
      <c r="AI8" s="11">
        <f t="shared" si="14"/>
        <v>-0.38570244766413292</v>
      </c>
      <c r="AJ8" s="6"/>
    </row>
    <row r="9" spans="2:36" s="2" customFormat="1" ht="33" customHeight="1" x14ac:dyDescent="0.35">
      <c r="B9" s="6" t="s">
        <v>30</v>
      </c>
      <c r="C9" s="3">
        <v>1000</v>
      </c>
      <c r="D9" s="3">
        <f>C9*0.16</f>
        <v>160</v>
      </c>
      <c r="E9" s="3">
        <f>C9*0.14</f>
        <v>140</v>
      </c>
      <c r="F9" s="3">
        <f>C9+D9+E9</f>
        <v>1300</v>
      </c>
      <c r="G9" s="3">
        <f>F9/1000</f>
        <v>1.3</v>
      </c>
      <c r="H9" s="3">
        <f>D9*0.25</f>
        <v>40</v>
      </c>
      <c r="I9" s="3">
        <f t="shared" si="0"/>
        <v>120</v>
      </c>
      <c r="J9" s="6" t="s">
        <v>33</v>
      </c>
      <c r="K9" s="3">
        <f t="shared" si="1"/>
        <v>120</v>
      </c>
      <c r="L9" s="10">
        <f t="shared" si="2"/>
        <v>2.0087366050098971</v>
      </c>
      <c r="M9" s="9">
        <f t="shared" si="3"/>
        <v>1.0420087366050099</v>
      </c>
      <c r="N9" s="6" t="s">
        <v>38</v>
      </c>
      <c r="O9" s="14">
        <f t="shared" si="4"/>
        <v>9.2307692307692313E-2</v>
      </c>
      <c r="P9" s="3">
        <f t="shared" si="5"/>
        <v>1300</v>
      </c>
      <c r="Q9" s="3">
        <f>P9*8760</f>
        <v>11388000</v>
      </c>
      <c r="R9" s="3">
        <v>1.8</v>
      </c>
      <c r="S9" s="3">
        <f>R9*Q9</f>
        <v>20498400</v>
      </c>
      <c r="T9" s="3">
        <f>S9/Q9</f>
        <v>1.8</v>
      </c>
      <c r="U9" s="3" t="s">
        <v>45</v>
      </c>
      <c r="V9" s="6">
        <f t="shared" si="6"/>
        <v>1042.00873660501</v>
      </c>
      <c r="W9" s="3">
        <f t="shared" si="7"/>
        <v>9127996.5326598883</v>
      </c>
      <c r="X9" s="3">
        <v>1.8</v>
      </c>
      <c r="Y9" s="3">
        <f>X9*W9</f>
        <v>16430393.7587878</v>
      </c>
      <c r="Z9" s="7">
        <f t="shared" si="8"/>
        <v>-0.19845481799614606</v>
      </c>
      <c r="AA9" s="3" t="s">
        <v>45</v>
      </c>
      <c r="AB9" s="3">
        <f t="shared" si="9"/>
        <v>11388000</v>
      </c>
      <c r="AC9" s="3">
        <v>0.38600000000000001</v>
      </c>
      <c r="AD9" s="3">
        <f t="shared" si="10"/>
        <v>4395768</v>
      </c>
      <c r="AE9" s="3">
        <f t="shared" si="11"/>
        <v>0.38600000000000001</v>
      </c>
      <c r="AF9" s="3">
        <f t="shared" si="12"/>
        <v>9127.9965326598867</v>
      </c>
      <c r="AG9" s="3">
        <v>0.38600000000000001</v>
      </c>
      <c r="AH9" s="3">
        <f t="shared" si="13"/>
        <v>3523.4066616067162</v>
      </c>
      <c r="AI9" s="11">
        <f t="shared" si="14"/>
        <v>-0.38569060355974655</v>
      </c>
      <c r="AJ9" s="3"/>
    </row>
    <row r="10" spans="2:36" s="2" customFormat="1" ht="33" customHeight="1" x14ac:dyDescent="0.35">
      <c r="B10" s="6" t="s">
        <v>31</v>
      </c>
      <c r="C10" s="3">
        <v>1000</v>
      </c>
      <c r="D10" s="3">
        <f>C10*0.09</f>
        <v>90</v>
      </c>
      <c r="E10" s="3">
        <f>C10*0.14</f>
        <v>140</v>
      </c>
      <c r="F10" s="3">
        <f>C10+D10+E10</f>
        <v>1230</v>
      </c>
      <c r="G10" s="3">
        <f>F10/1000</f>
        <v>1.23</v>
      </c>
      <c r="H10" s="3">
        <f>D10*0.3</f>
        <v>27</v>
      </c>
      <c r="I10" s="3">
        <f t="shared" si="0"/>
        <v>63</v>
      </c>
      <c r="J10" s="6" t="s">
        <v>34</v>
      </c>
      <c r="K10" s="3">
        <f t="shared" si="1"/>
        <v>63</v>
      </c>
      <c r="L10" s="10">
        <f t="shared" si="2"/>
        <v>1.054586717630196</v>
      </c>
      <c r="M10" s="9">
        <f t="shared" si="3"/>
        <v>1.0280545867176303</v>
      </c>
      <c r="N10" s="6" t="s">
        <v>38</v>
      </c>
      <c r="O10" s="14">
        <f t="shared" si="4"/>
        <v>5.1219512195121948E-2</v>
      </c>
      <c r="P10" s="3">
        <f t="shared" si="5"/>
        <v>1230</v>
      </c>
      <c r="Q10" s="3">
        <f>P10*8760</f>
        <v>10774800</v>
      </c>
      <c r="R10" s="8"/>
      <c r="S10" s="12">
        <f>S6*0.3</f>
        <v>1500000</v>
      </c>
      <c r="T10" s="3">
        <f>S10/Q10</f>
        <v>0.13921372090433234</v>
      </c>
      <c r="U10" s="6" t="s">
        <v>46</v>
      </c>
      <c r="V10" s="6">
        <f t="shared" si="6"/>
        <v>1028.0545867176302</v>
      </c>
      <c r="W10" s="3">
        <f t="shared" si="7"/>
        <v>9005758.1796464399</v>
      </c>
      <c r="X10" s="6"/>
      <c r="Y10" s="12">
        <f>Y6*0.3</f>
        <v>1500000</v>
      </c>
      <c r="Z10" s="7">
        <f t="shared" si="8"/>
        <v>0</v>
      </c>
      <c r="AA10" s="6" t="s">
        <v>46</v>
      </c>
      <c r="AB10" s="3">
        <f t="shared" si="9"/>
        <v>10774800</v>
      </c>
      <c r="AC10" s="3">
        <v>0.38600000000000001</v>
      </c>
      <c r="AD10" s="3">
        <f t="shared" si="10"/>
        <v>4159072.8000000003</v>
      </c>
      <c r="AE10" s="3">
        <f t="shared" si="11"/>
        <v>0.38600000000000001</v>
      </c>
      <c r="AF10" s="3">
        <f t="shared" si="12"/>
        <v>9005.7581796464419</v>
      </c>
      <c r="AG10" s="3">
        <v>0.38600000000000001</v>
      </c>
      <c r="AH10" s="3">
        <f t="shared" si="13"/>
        <v>3476.2226573435269</v>
      </c>
      <c r="AI10" s="11">
        <f t="shared" si="14"/>
        <v>-0.38567737473945291</v>
      </c>
      <c r="AJ10" s="6"/>
    </row>
    <row r="11" spans="2:36" s="2" customFormat="1" ht="19.75" customHeigh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8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2:36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4" spans="2:36" x14ac:dyDescent="0.35">
      <c r="B14" t="s">
        <v>55</v>
      </c>
    </row>
    <row r="15" spans="2:36" ht="145" x14ac:dyDescent="0.35">
      <c r="B15" s="13" t="s">
        <v>56</v>
      </c>
    </row>
    <row r="16" spans="2:36" x14ac:dyDescent="0.35">
      <c r="B16" s="13" t="s">
        <v>57</v>
      </c>
    </row>
    <row r="17" spans="2:2" ht="43.5" x14ac:dyDescent="0.35">
      <c r="B17" s="13" t="s">
        <v>58</v>
      </c>
    </row>
    <row r="18" spans="2:2" ht="29" x14ac:dyDescent="0.35">
      <c r="B18" s="13" t="s">
        <v>59</v>
      </c>
    </row>
    <row r="19" spans="2:2" ht="29" x14ac:dyDescent="0.35">
      <c r="B19" s="13" t="s">
        <v>60</v>
      </c>
    </row>
    <row r="20" spans="2:2" ht="43.5" x14ac:dyDescent="0.35">
      <c r="B20" s="13" t="s">
        <v>61</v>
      </c>
    </row>
    <row r="21" spans="2:2" x14ac:dyDescent="0.35">
      <c r="B21" s="13"/>
    </row>
    <row r="22" spans="2:2" x14ac:dyDescent="0.35">
      <c r="B22" s="13" t="s">
        <v>62</v>
      </c>
    </row>
    <row r="23" spans="2:2" x14ac:dyDescent="0.35">
      <c r="B23" t="s">
        <v>41</v>
      </c>
    </row>
    <row r="24" spans="2:2" x14ac:dyDescent="0.35">
      <c r="B24" t="s">
        <v>44</v>
      </c>
    </row>
  </sheetData>
  <mergeCells count="7">
    <mergeCell ref="V3:Z3"/>
    <mergeCell ref="AB3:AE3"/>
    <mergeCell ref="AF3:AI3"/>
    <mergeCell ref="B2:J2"/>
    <mergeCell ref="B3:J3"/>
    <mergeCell ref="P3:T3"/>
    <mergeCell ref="K3:N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 Reuse - PUE,WUE,CUE,ERF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Ajas Ali</dc:creator>
  <cp:lastModifiedBy>Bharath Ramakrishnan</cp:lastModifiedBy>
  <dcterms:created xsi:type="dcterms:W3CDTF">2015-06-05T18:17:20Z</dcterms:created>
  <dcterms:modified xsi:type="dcterms:W3CDTF">2026-02-04T22:14:05Z</dcterms:modified>
</cp:coreProperties>
</file>