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2"/>
  <workbookPr/>
  <mc:AlternateContent xmlns:mc="http://schemas.openxmlformats.org/markup-compatibility/2006">
    <mc:Choice Requires="x15">
      <x15ac:absPath xmlns:x15ac="http://schemas.microsoft.com/office/spreadsheetml/2010/11/ac" url="C:\Users\syong\Downloads\"/>
    </mc:Choice>
  </mc:AlternateContent>
  <xr:revisionPtr revIDLastSave="0" documentId="13_ncr:1_{E2D3A994-B20E-48ED-BCF2-DB9ED6EB5966}" xr6:coauthVersionLast="47" xr6:coauthVersionMax="47" xr10:uidLastSave="{00000000-0000-0000-0000-000000000000}"/>
  <bookViews>
    <workbookView xWindow="-110" yWindow="-110" windowWidth="19420" windowHeight="11500" firstSheet="1" activeTab="1" xr2:uid="{662D4107-8914-40B4-AED5-F42ABE8AF85F}"/>
  </bookViews>
  <sheets>
    <sheet name="Assumptions" sheetId="1" r:id="rId1"/>
    <sheet name="Produced" sheetId="12" r:id="rId2"/>
    <sheet name="CAPEX &amp; Opex produced" sheetId="8" r:id="rId3"/>
  </sheets>
  <definedNames>
    <definedName name="Capacity">#REF!</definedName>
    <definedName name="TCapacity">#REF!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8" i="12" l="1"/>
  <c r="B24" i="12" l="1"/>
  <c r="B26" i="1" l="1"/>
  <c r="M18" i="8"/>
  <c r="J35" i="8"/>
  <c r="C35" i="8"/>
  <c r="G33" i="8"/>
  <c r="F33" i="8"/>
  <c r="D33" i="8"/>
  <c r="C33" i="8"/>
  <c r="G31" i="8"/>
  <c r="H31" i="8"/>
  <c r="K31" i="8"/>
  <c r="N31" i="8"/>
  <c r="B43" i="8"/>
  <c r="B41" i="8"/>
  <c r="M35" i="8" s="1"/>
  <c r="B20" i="8"/>
  <c r="B18" i="8"/>
  <c r="I11" i="8" s="1"/>
  <c r="W36" i="12"/>
  <c r="V36" i="12"/>
  <c r="U36" i="12"/>
  <c r="T36" i="12"/>
  <c r="S36" i="12"/>
  <c r="R36" i="12"/>
  <c r="Q36" i="12"/>
  <c r="P36" i="12"/>
  <c r="O36" i="12"/>
  <c r="N36" i="12"/>
  <c r="M36" i="12"/>
  <c r="L36" i="12"/>
  <c r="W44" i="12"/>
  <c r="V44" i="12"/>
  <c r="U44" i="12"/>
  <c r="T44" i="12"/>
  <c r="S44" i="12"/>
  <c r="R44" i="12"/>
  <c r="Q44" i="12"/>
  <c r="P44" i="12"/>
  <c r="O44" i="12"/>
  <c r="N44" i="12"/>
  <c r="M44" i="12"/>
  <c r="L44" i="12"/>
  <c r="K44" i="12"/>
  <c r="K36" i="12"/>
  <c r="A33" i="12" s="1"/>
  <c r="B16" i="12"/>
  <c r="B8" i="12"/>
  <c r="B7" i="12"/>
  <c r="B6" i="12"/>
  <c r="O38" i="12" l="1"/>
  <c r="G11" i="8"/>
  <c r="D35" i="8"/>
  <c r="C31" i="8"/>
  <c r="K35" i="8"/>
  <c r="P38" i="12"/>
  <c r="L11" i="8"/>
  <c r="L31" i="8"/>
  <c r="G35" i="8"/>
  <c r="L38" i="12"/>
  <c r="J33" i="8"/>
  <c r="I9" i="8"/>
  <c r="L7" i="8"/>
  <c r="U37" i="12" s="1"/>
  <c r="M38" i="12"/>
  <c r="K33" i="8"/>
  <c r="K11" i="8"/>
  <c r="D31" i="8"/>
  <c r="N33" i="8"/>
  <c r="N35" i="8"/>
  <c r="L9" i="8"/>
  <c r="M31" i="8"/>
  <c r="E33" i="8"/>
  <c r="E35" i="8"/>
  <c r="K9" i="8"/>
  <c r="F35" i="8"/>
  <c r="H9" i="8"/>
  <c r="J31" i="8"/>
  <c r="H33" i="8"/>
  <c r="H35" i="8"/>
  <c r="G9" i="8"/>
  <c r="I31" i="8"/>
  <c r="I33" i="8"/>
  <c r="I35" i="8"/>
  <c r="K7" i="8"/>
  <c r="T37" i="12" s="1"/>
  <c r="I7" i="8"/>
  <c r="R37" i="12" s="1"/>
  <c r="F31" i="8"/>
  <c r="L33" i="8"/>
  <c r="L35" i="8"/>
  <c r="E31" i="8"/>
  <c r="M33" i="8"/>
  <c r="G7" i="8"/>
  <c r="P37" i="12" s="1"/>
  <c r="R38" i="12"/>
  <c r="F11" i="8"/>
  <c r="F7" i="8"/>
  <c r="O45" i="12" s="1"/>
  <c r="F9" i="8"/>
  <c r="S38" i="12"/>
  <c r="E11" i="8"/>
  <c r="E9" i="8"/>
  <c r="E7" i="8"/>
  <c r="N37" i="12" s="1"/>
  <c r="Q38" i="12"/>
  <c r="D11" i="8"/>
  <c r="D9" i="8"/>
  <c r="D7" i="8"/>
  <c r="C11" i="8"/>
  <c r="C9" i="8"/>
  <c r="C7" i="8"/>
  <c r="L37" i="12" s="1"/>
  <c r="H11" i="8"/>
  <c r="H7" i="8"/>
  <c r="Q37" i="12" s="1"/>
  <c r="T38" i="12"/>
  <c r="U38" i="12"/>
  <c r="V38" i="12"/>
  <c r="N11" i="8"/>
  <c r="N9" i="8"/>
  <c r="N7" i="8"/>
  <c r="W37" i="12" s="1"/>
  <c r="W38" i="12"/>
  <c r="M11" i="8"/>
  <c r="M9" i="8"/>
  <c r="M7" i="8"/>
  <c r="V37" i="12" s="1"/>
  <c r="N38" i="12"/>
  <c r="J11" i="8"/>
  <c r="J9" i="8"/>
  <c r="J7" i="8"/>
  <c r="S45" i="12" s="1"/>
  <c r="V45" i="12"/>
  <c r="U45" i="12"/>
  <c r="B17" i="12"/>
  <c r="B3" i="12"/>
  <c r="L45" i="12" l="1"/>
  <c r="W45" i="12"/>
  <c r="O37" i="12"/>
  <c r="R45" i="12"/>
  <c r="T45" i="12"/>
  <c r="T47" i="12" s="1"/>
  <c r="P45" i="12"/>
  <c r="N45" i="12"/>
  <c r="T40" i="12"/>
  <c r="Q40" i="12"/>
  <c r="W40" i="12"/>
  <c r="B4" i="12"/>
  <c r="M40" i="12"/>
  <c r="O40" i="12"/>
  <c r="S40" i="12"/>
  <c r="U40" i="12"/>
  <c r="V40" i="12"/>
  <c r="L40" i="12"/>
  <c r="N40" i="12"/>
  <c r="P40" i="12"/>
  <c r="R40" i="12"/>
  <c r="Q45" i="12"/>
  <c r="Q47" i="12" s="1"/>
  <c r="S37" i="12"/>
  <c r="M37" i="12"/>
  <c r="M45" i="12"/>
  <c r="U47" i="12"/>
  <c r="O46" i="12"/>
  <c r="M46" i="12"/>
  <c r="L46" i="12"/>
  <c r="W46" i="12"/>
  <c r="Q46" i="12"/>
  <c r="N46" i="12"/>
  <c r="U46" i="12"/>
  <c r="V46" i="12"/>
  <c r="T46" i="12"/>
  <c r="R46" i="12"/>
  <c r="P46" i="12"/>
  <c r="S46" i="12"/>
  <c r="Q39" i="12"/>
  <c r="T39" i="12"/>
  <c r="U39" i="12"/>
  <c r="B23" i="12" l="1"/>
  <c r="B20" i="12"/>
  <c r="B10" i="12"/>
  <c r="X40" i="12"/>
  <c r="B12" i="12" s="1"/>
  <c r="L47" i="12"/>
  <c r="L39" i="12"/>
  <c r="W39" i="12"/>
  <c r="W47" i="12"/>
  <c r="S47" i="12"/>
  <c r="S39" i="12"/>
  <c r="P47" i="12"/>
  <c r="P39" i="12"/>
  <c r="N47" i="12"/>
  <c r="N39" i="12"/>
  <c r="W48" i="12"/>
  <c r="V48" i="12"/>
  <c r="U48" i="12"/>
  <c r="T48" i="12"/>
  <c r="S48" i="12"/>
  <c r="R48" i="12"/>
  <c r="L48" i="12"/>
  <c r="Q48" i="12"/>
  <c r="P48" i="12"/>
  <c r="O48" i="12"/>
  <c r="N48" i="12"/>
  <c r="M48" i="12"/>
  <c r="M47" i="12"/>
  <c r="M39" i="12"/>
  <c r="V39" i="12"/>
  <c r="V47" i="12"/>
  <c r="B22" i="12"/>
  <c r="B29" i="12" s="1"/>
  <c r="R47" i="12"/>
  <c r="R39" i="12"/>
  <c r="O47" i="12"/>
  <c r="O39" i="12"/>
  <c r="B15" i="12" l="1"/>
  <c r="B27" i="12" s="1"/>
  <c r="B39" i="12"/>
  <c r="X47" i="12"/>
  <c r="X39" i="12"/>
  <c r="B38" i="12" s="1"/>
  <c r="X48" i="12"/>
  <c r="B40" i="12" s="1"/>
  <c r="B11" i="12" l="1"/>
  <c r="B26" i="12" s="1"/>
  <c r="B13" i="12"/>
  <c r="B28" i="12" s="1"/>
  <c r="C48" i="1"/>
  <c r="F36" i="12" l="1"/>
  <c r="G36" i="12" s="1"/>
  <c r="C36" i="12"/>
  <c r="D36" i="12" s="1"/>
  <c r="F34" i="12" l="1"/>
  <c r="F35" i="12"/>
  <c r="C34" i="12"/>
  <c r="D34" i="12" s="1"/>
  <c r="C35" i="12"/>
  <c r="D35" i="12" l="1"/>
  <c r="G35" i="12"/>
  <c r="G34" i="12"/>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<sst xmlns="http://schemas.openxmlformats.org/spreadsheetml/2006/main" count="321" uniqueCount="205">
  <si>
    <t>Parameter</t>
  </si>
  <si>
    <t>Value</t>
  </si>
  <si>
    <t>unit</t>
  </si>
  <si>
    <t>Reference</t>
  </si>
  <si>
    <t>Electricity Cost</t>
  </si>
  <si>
    <t>$/kWhe</t>
  </si>
  <si>
    <t>MSC value supplied</t>
  </si>
  <si>
    <t>COP Brackish</t>
  </si>
  <si>
    <t>Typical HP used for cooling using air sourced HP, mfg quote</t>
  </si>
  <si>
    <t>COP Seawater</t>
  </si>
  <si>
    <t>Typical HP with seawter cooling (liquid), mfg quote</t>
  </si>
  <si>
    <t>COP Produced</t>
  </si>
  <si>
    <t>Typical HP used for cooling using air sourced Heat pump, HT quote</t>
  </si>
  <si>
    <t>Brackish Feed Salinity</t>
  </si>
  <si>
    <t>mg/l</t>
  </si>
  <si>
    <t>Typical range 2-10k</t>
  </si>
  <si>
    <t>Brackish brine Salinity</t>
  </si>
  <si>
    <t>Assumes MLD design</t>
  </si>
  <si>
    <t>Seawater Feed Salinity</t>
  </si>
  <si>
    <t>Typically 36-40k</t>
  </si>
  <si>
    <t>Seawater brine Salinity</t>
  </si>
  <si>
    <t>Assumes ocean discharge, 65% recovery</t>
  </si>
  <si>
    <t>Produced Water Feed</t>
  </si>
  <si>
    <t>Typical in Permean basin</t>
  </si>
  <si>
    <t>Produced Water brine</t>
  </si>
  <si>
    <t>Requested recovery 50%</t>
  </si>
  <si>
    <t>Plant Availability</t>
  </si>
  <si>
    <t>%</t>
  </si>
  <si>
    <t>S/B &gt;95%</t>
  </si>
  <si>
    <t>Water Sell price brackish</t>
  </si>
  <si>
    <t>$/m3</t>
  </si>
  <si>
    <t>Set by market, used for average baseline, see table below</t>
  </si>
  <si>
    <t>Water Sell price Seawater</t>
  </si>
  <si>
    <t>Set by market, used for baseline  average, see table below</t>
  </si>
  <si>
    <t>Water Sell price Produced</t>
  </si>
  <si>
    <t>Set by market, used for baseline refernce, see table below</t>
  </si>
  <si>
    <t>Interest Rate</t>
  </si>
  <si>
    <t>Project Finance rate assumption</t>
  </si>
  <si>
    <t>Plant Life</t>
  </si>
  <si>
    <t>years</t>
  </si>
  <si>
    <t xml:space="preserve">Typical for brackish and seawater, 10yrs for oil and gas </t>
  </si>
  <si>
    <t>Heat Pump Capex</t>
  </si>
  <si>
    <t>$/kWhth</t>
  </si>
  <si>
    <t>From table in Text, IEA Conf. Proc.</t>
  </si>
  <si>
    <t>FO Electrical (Brackish &amp; Seawater)</t>
  </si>
  <si>
    <t>kWh/m3</t>
  </si>
  <si>
    <t>From PFD Tab</t>
  </si>
  <si>
    <t>FO Electrical (Produced)</t>
  </si>
  <si>
    <t>FO Thermal (Brackish &amp; Seawater)</t>
  </si>
  <si>
    <t>From PFD tab</t>
  </si>
  <si>
    <t>FO Thermal (Produced)</t>
  </si>
  <si>
    <t>RO Electrical (MLD brackish)</t>
  </si>
  <si>
    <t>From GWI reference in Workbook</t>
  </si>
  <si>
    <t>UPRO Electrical (Sea)</t>
  </si>
  <si>
    <t>UPRO&amp;MVR Electrical (O&amp;G)</t>
  </si>
  <si>
    <t>City</t>
  </si>
  <si>
    <t>Water Source</t>
  </si>
  <si>
    <t>Estimated Lowest Tier Cost (USD/m³)</t>
  </si>
  <si>
    <t>Phoenix, AZ</t>
  </si>
  <si>
    <t>Surface &amp; Groundwater</t>
  </si>
  <si>
    <t>El Paso, TX</t>
  </si>
  <si>
    <t>Brackish Groundwater (Desal.)</t>
  </si>
  <si>
    <t>Midland, TX</t>
  </si>
  <si>
    <t>Groundwater</t>
  </si>
  <si>
    <t>Albuquerque, NM</t>
  </si>
  <si>
    <t>Reno, NV</t>
  </si>
  <si>
    <t>Surface Water</t>
  </si>
  <si>
    <r>
      <t xml:space="preserve">The average multiplier that cities charge consumers over the estimated Levelized Cost of Water (LCOW) from brackish desalination (assumed at $0.50/m³) is approximately </t>
    </r>
    <r>
      <rPr>
        <b/>
        <sz val="11"/>
        <color theme="1"/>
        <rFont val="Aptos Narrow"/>
        <family val="2"/>
        <scheme val="minor"/>
      </rPr>
      <t>5.78×</t>
    </r>
    <r>
      <rPr>
        <sz val="11"/>
        <color theme="1"/>
        <rFont val="Aptos Narrow"/>
        <family val="2"/>
        <scheme val="minor"/>
      </rPr>
      <t>.</t>
    </r>
  </si>
  <si>
    <t>Sonoma, CA</t>
  </si>
  <si>
    <t>Fresno, CA (est.)</t>
  </si>
  <si>
    <t xml:space="preserve">You can explore the detailed comparison in the table provided, which includes each city’s markup over the base LCOW. Let me know if you'd like the same analysis using seawater desalination LCOW or for higher usage tiers. </t>
  </si>
  <si>
    <t>San Francisco, CA</t>
  </si>
  <si>
    <t>Monterey, CA</t>
  </si>
  <si>
    <t>San Angelo, TX</t>
  </si>
  <si>
    <t>Alamogordo, NM</t>
  </si>
  <si>
    <t>Odessa, TX</t>
  </si>
  <si>
    <t>San Antonio, TX</t>
  </si>
  <si>
    <t>Los Angeles, CA</t>
  </si>
  <si>
    <t>Brackish &amp; Surface Water</t>
  </si>
  <si>
    <t>Oxnard, CA</t>
  </si>
  <si>
    <t>Tampa, FL</t>
  </si>
  <si>
    <t>Jacksonville, FL</t>
  </si>
  <si>
    <t>Average</t>
  </si>
  <si>
    <t xml:space="preserve">Seawater </t>
  </si>
  <si>
    <r>
      <t>Est lowest Tier (USD/m</t>
    </r>
    <r>
      <rPr>
        <vertAlign val="superscript"/>
        <sz val="11"/>
        <color theme="1"/>
        <rFont val="Aptos Narrow"/>
        <family val="2"/>
        <scheme val="minor"/>
      </rPr>
      <t>3</t>
    </r>
    <r>
      <rPr>
        <sz val="11"/>
        <color theme="1"/>
        <rFont val="Aptos Narrow"/>
        <family val="2"/>
        <scheme val="minor"/>
      </rPr>
      <t>)</t>
    </r>
  </si>
  <si>
    <t>San Diego</t>
  </si>
  <si>
    <t>Miami</t>
  </si>
  <si>
    <t>Corpus Christi</t>
  </si>
  <si>
    <t>Virginia Beach</t>
  </si>
  <si>
    <t>Honolulu</t>
  </si>
  <si>
    <t>Produced Water</t>
  </si>
  <si>
    <t>Variable</t>
  </si>
  <si>
    <t>Unit</t>
  </si>
  <si>
    <t>DC Cooling Req</t>
  </si>
  <si>
    <t>MW</t>
  </si>
  <si>
    <t>Design Point</t>
  </si>
  <si>
    <t>DC Waste Heat Avail</t>
  </si>
  <si>
    <t>From Quote by HP mfg.</t>
  </si>
  <si>
    <t>FO &amp; RO Plant Size</t>
  </si>
  <si>
    <t>m3/day</t>
  </si>
  <si>
    <t>Based on heat avail.</t>
  </si>
  <si>
    <t>FO Plant CAPEX</t>
  </si>
  <si>
    <t>Derived by Trevi</t>
  </si>
  <si>
    <t>FO Electrical Energy</t>
  </si>
  <si>
    <t>Assumption tab</t>
  </si>
  <si>
    <t xml:space="preserve">FO Thermal Energy </t>
  </si>
  <si>
    <t>COP  heat Pump with FO</t>
  </si>
  <si>
    <t>Calculated from lift and industry quote</t>
  </si>
  <si>
    <t>FO</t>
  </si>
  <si>
    <t>Annual Electricity cost</t>
  </si>
  <si>
    <t>Assumption tab &amp; Calculated</t>
  </si>
  <si>
    <t>Annual FO Thermal Energy Costs (No WH &amp; DC)</t>
  </si>
  <si>
    <t>Calculated from Dallas Table below</t>
  </si>
  <si>
    <t>Annual FO Thermal Energy Costs( 30C WH)</t>
  </si>
  <si>
    <t>Annual FO Thermal Energy Costs (45C WH)</t>
  </si>
  <si>
    <t>FO CAPEX</t>
  </si>
  <si>
    <t>Calculated</t>
  </si>
  <si>
    <t>Annual FO CAPEX Cost</t>
  </si>
  <si>
    <t>HEAT Pump CAPEX</t>
  </si>
  <si>
    <t>Annual HP CAPEX</t>
  </si>
  <si>
    <t>From Ref in Document</t>
  </si>
  <si>
    <t xml:space="preserve">Annual FO Plant OPEX Cost </t>
  </si>
  <si>
    <t>UPRO+MVR</t>
  </si>
  <si>
    <t>Assumptions tab</t>
  </si>
  <si>
    <t>RO CAPEX Cost</t>
  </si>
  <si>
    <t>GWI databook</t>
  </si>
  <si>
    <t>Annual CAPEX Cost</t>
  </si>
  <si>
    <t xml:space="preserve">Annual OPEX Cost </t>
  </si>
  <si>
    <t>Recovery rate</t>
  </si>
  <si>
    <t>For Dallas</t>
  </si>
  <si>
    <t>LCOW FO (no DC)</t>
  </si>
  <si>
    <t>=Annualized (Electricity Cost + Thermal costs (no HP)+ FO CAPEX+FO OPEX+ HeatPump CAPEX)/1000</t>
  </si>
  <si>
    <t>LCOW FO (+ DCWH @30 deg C)</t>
  </si>
  <si>
    <t>=Annualized (Electricity Cost + Thermal costs (w HP @30 deg C)+ FO CAPEX+ OPEX+ HeatPump CAPEx)/1000</t>
  </si>
  <si>
    <t>LCOW FO (+ DCWH @45 degC + 33 DegC Ret)</t>
  </si>
  <si>
    <t>=Annualized (Electricity Cost + Thermal costs (w HP@ 45 deg C)+ FO CAPEX+ OPEX+ HeatPump CAPEX)/1000</t>
  </si>
  <si>
    <t>LCOW UHPRO</t>
  </si>
  <si>
    <t>=Annualized (RO Electricity Cost + RO CAPEX+ RO OPEX)/1000</t>
  </si>
  <si>
    <t>With 30C DC Heat</t>
  </si>
  <si>
    <t>$/bbl</t>
  </si>
  <si>
    <t>With 45C DC Heat</t>
  </si>
  <si>
    <t>Heat Pump Savings with DC Waste heat vs Produced water sourced HP ( 30C DC )</t>
  </si>
  <si>
    <t>LCOW FO (+ DC)</t>
  </si>
  <si>
    <t>Location</t>
  </si>
  <si>
    <t>jan</t>
  </si>
  <si>
    <t>feb</t>
  </si>
  <si>
    <t>march</t>
  </si>
  <si>
    <t>April</t>
  </si>
  <si>
    <t>may</t>
  </si>
  <si>
    <t>june</t>
  </si>
  <si>
    <t>july</t>
  </si>
  <si>
    <t>Aug</t>
  </si>
  <si>
    <t>Sep</t>
  </si>
  <si>
    <t>Oct</t>
  </si>
  <si>
    <t>Nov</t>
  </si>
  <si>
    <t>Dec</t>
  </si>
  <si>
    <t>Annual Energy Used (MWH)</t>
  </si>
  <si>
    <t>LCOW UPRO+MVR</t>
  </si>
  <si>
    <t xml:space="preserve">Ambient HP COP </t>
  </si>
  <si>
    <t>Ref; ASHRAE, IAE, US DOE sources</t>
  </si>
  <si>
    <t>Annual Thermal FO No DC</t>
  </si>
  <si>
    <t>COP of DC waste Heat (53% of Carnot cycle (air)</t>
  </si>
  <si>
    <t>Mfg data</t>
  </si>
  <si>
    <t>Annual Thermal 30 Deg</t>
  </si>
  <si>
    <t>Table right 30C</t>
  </si>
  <si>
    <t>FO Energy No DC WH</t>
  </si>
  <si>
    <t>Annual Thermal 45</t>
  </si>
  <si>
    <t>Table right 45C</t>
  </si>
  <si>
    <t>FO Energy w DC 30 deg C</t>
  </si>
  <si>
    <t>Heat Pump Savings with DC Waste heat vs Produced sourced HP (45C DC )</t>
  </si>
  <si>
    <t xml:space="preserve">Ref; ASHRAE, IAE, US DOE sources </t>
  </si>
  <si>
    <t>FO Energy w DC 45 deg C</t>
  </si>
  <si>
    <t>Location Data - Monthly Average Ambient Temperature and COP calculations</t>
  </si>
  <si>
    <t>Jan</t>
  </si>
  <si>
    <t>Feb</t>
  </si>
  <si>
    <t>Mar</t>
  </si>
  <si>
    <t>May</t>
  </si>
  <si>
    <t>Jun</t>
  </si>
  <si>
    <t>Jul</t>
  </si>
  <si>
    <t>Sept</t>
  </si>
  <si>
    <t>Dallas</t>
  </si>
  <si>
    <t>HP COP*</t>
  </si>
  <si>
    <t>Houston</t>
  </si>
  <si>
    <t xml:space="preserve">HP COP* </t>
  </si>
  <si>
    <t>Denver</t>
  </si>
  <si>
    <t>calculations:</t>
  </si>
  <si>
    <t>* COP calculated is ratio of COP (actual)/COP (datacenter)* COP of manufacturer:  COP  = Thot/(Thot-Tcold) (actual) / COP (datacenter) * COP manufacturer</t>
  </si>
  <si>
    <t>* ASHRAE D-CCC23-21.pdf</t>
  </si>
  <si>
    <t>Data Center Ideal Carnot COP @ 30C:</t>
  </si>
  <si>
    <t>90C = Avg Hot of FO and 24C = Avg Cold @30C DC</t>
  </si>
  <si>
    <t>(30C+18C)/2=24C</t>
  </si>
  <si>
    <t>COP @30C</t>
  </si>
  <si>
    <t>Data Center Ideal Carnot COP @ 45C:</t>
  </si>
  <si>
    <t>COP @45C</t>
  </si>
  <si>
    <t>90C = Avg Hot of FO and 31.5C = Avg Cold @45C DC</t>
  </si>
  <si>
    <t>(45C+33C)/2 = 39C</t>
  </si>
  <si>
    <t>Data Center Ambient COP</t>
  </si>
  <si>
    <t>(273+90)/((273+90)-(273+T))</t>
  </si>
  <si>
    <t>Use to calculate ambient produced water COP</t>
  </si>
  <si>
    <t>363/(363-(273+T))</t>
  </si>
  <si>
    <r>
      <t xml:space="preserve">Actual COP is then:: </t>
    </r>
    <r>
      <rPr>
        <b/>
        <sz val="11"/>
        <color theme="1"/>
        <rFont val="Aptos Narrow"/>
        <family val="2"/>
        <scheme val="minor"/>
      </rPr>
      <t xml:space="preserve"> COP(mfg)* COPambient (ideal carnot)/COP DC i(deal carnot)</t>
    </r>
  </si>
  <si>
    <t>Abu Dhabi</t>
  </si>
  <si>
    <t>Riyadh</t>
  </si>
  <si>
    <t>muscat</t>
  </si>
  <si>
    <t>Hot side = 95 &amp; return = 85 = 90 deg C average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</si>
</sst>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7" formatCode="&quot;$&quot;#,##0.00_);\(&quot;$&quot;#,##0.00\)"/>
    <numFmt numFmtId="44" formatCode="_(&quot;$&quot;* #,##0.00_);_(&quot;$&quot;* \(#,##0.00\);_(&quot;$&quot;* &quot;-&quot;??_);_(@_)"/>
    <numFmt numFmtId="43" formatCode="_(* #,##0.00_);_(* \(#,##0.00\);_(* &quot;-&quot;??_);_(@_)"/>
    <numFmt numFmtId="164" formatCode="0.0"/>
    <numFmt numFmtId="165" formatCode="_(&quot;$&quot;* #,##0_);_(&quot;$&quot;* \(#,##0\);_(&quot;$&quot;* &quot;-&quot;??_);_(@_)"/>
    <numFmt numFmtId="166" formatCode="0.000"/>
    <numFmt numFmtId="167" formatCode="_(&quot;$&quot;* #,##0.000_);_(&quot;$&quot;* \(#,##0.000\);_(&quot;$&quot;* &quot;-&quot;??_);_(@_)"/>
    <numFmt numFmtId="168" formatCode="_(&quot;$&quot;* #,##0.000_);_(&quot;$&quot;* \(#,##0.000\);_(&quot;$&quot;* &quot;-&quot;???_);_(@_)"/>
  </numFmts>
  <fonts count="5">
    <font>
      <sz val="11"/>
      <color theme="1"/>
      <name val="Aptos Narrow"/>
      <family val="2"/>
      <scheme val="minor"/>
    </font>
    <font>
      <sz val="11"/>
      <color theme="1"/>
      <name val="Aptos Narrow"/>
      <family val="2"/>
      <scheme val="minor"/>
    </font>
    <font>
      <b/>
      <sz val="11"/>
      <color theme="1"/>
      <name val="Aptos Narrow"/>
      <family val="2"/>
      <scheme val="minor"/>
    </font>
    <font>
      <vertAlign val="superscript"/>
      <sz val="11"/>
      <color theme="1"/>
      <name val="Aptos Narrow"/>
      <family val="2"/>
      <scheme val="minor"/>
    </font>
    <font>
      <sz val="11"/>
      <color theme="3" tint="0.499984740745262"/>
      <name val="Aptos Narrow"/>
      <family val="2"/>
      <scheme val="minor"/>
    </font>
  </fonts>
  <fills count="12">
    <fill>
      <patternFill patternType="none"/>
    </fill>
    <fill>
      <patternFill patternType="gray125"/>
    </fill>
    <fill>
      <patternFill patternType="solid">
        <fgColor theme="4" tint="0.79998168889431442"/>
        <bgColor indexed="65"/>
      </patternFill>
    </fill>
    <fill>
      <patternFill patternType="solid">
        <fgColor theme="6" tint="0.79998168889431442"/>
        <bgColor indexed="65"/>
      </patternFill>
    </fill>
    <fill>
      <patternFill patternType="solid">
        <fgColor rgb="FFFFFF00"/>
        <bgColor indexed="64"/>
      </patternFill>
    </fill>
    <fill>
      <patternFill patternType="solid">
        <fgColor theme="6" tint="0.79998168889431442"/>
        <bgColor indexed="64"/>
      </patternFill>
    </fill>
    <fill>
      <patternFill patternType="solid">
        <fgColor theme="0"/>
        <bgColor indexed="64"/>
      </patternFill>
    </fill>
    <fill>
      <patternFill patternType="solid">
        <fgColor theme="5" tint="0.79998168889431442"/>
        <bgColor indexed="64"/>
      </patternFill>
    </fill>
    <fill>
      <patternFill patternType="solid">
        <fgColor theme="3" tint="0.89999084444715716"/>
        <bgColor indexed="64"/>
      </patternFill>
    </fill>
    <fill>
      <patternFill patternType="solid">
        <fgColor rgb="FFFFC000"/>
        <bgColor indexed="64"/>
      </patternFill>
    </fill>
    <fill>
      <patternFill patternType="solid">
        <fgColor theme="3" tint="0.749992370372631"/>
        <bgColor indexed="64"/>
      </patternFill>
    </fill>
    <fill>
      <patternFill patternType="solid">
        <fgColor theme="9"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2" borderId="0" applyNumberFormat="0" applyBorder="0" applyAlignment="0" applyProtection="0"/>
    <xf numFmtId="0" fontId="1" fillId="3" borderId="0" applyNumberFormat="0" applyBorder="0" applyAlignment="0" applyProtection="0"/>
    <xf numFmtId="9" fontId="1" fillId="0" borderId="0" applyFont="0" applyFill="0" applyBorder="0" applyAlignment="0" applyProtection="0"/>
  </cellStyleXfs>
  <cellXfs count="50">
    <xf numFmtId="0" fontId="0" fillId="0" borderId="0" xfId="0"/>
    <xf numFmtId="0" fontId="0" fillId="0" borderId="0" xfId="0" applyAlignment="1">
      <alignment horizontal="center"/>
    </xf>
    <xf numFmtId="0" fontId="1" fillId="2" borderId="0" xfId="3" applyAlignment="1">
      <alignment horizontal="center"/>
    </xf>
    <xf numFmtId="0" fontId="1" fillId="3" borderId="0" xfId="4" applyAlignment="1">
      <alignment horizontal="center"/>
    </xf>
    <xf numFmtId="1" fontId="0" fillId="0" borderId="0" xfId="0" applyNumberFormat="1" applyAlignment="1">
      <alignment horizontal="center"/>
    </xf>
    <xf numFmtId="0" fontId="2" fillId="5" borderId="0" xfId="0" applyFont="1" applyFill="1"/>
    <xf numFmtId="165" fontId="0" fillId="0" borderId="0" xfId="2" applyNumberFormat="1" applyFont="1"/>
    <xf numFmtId="165" fontId="0" fillId="0" borderId="0" xfId="2" applyNumberFormat="1" applyFont="1" applyAlignment="1">
      <alignment horizontal="center"/>
    </xf>
    <xf numFmtId="165" fontId="0" fillId="0" borderId="0" xfId="0" applyNumberFormat="1" applyAlignment="1">
      <alignment horizontal="center"/>
    </xf>
    <xf numFmtId="0" fontId="0" fillId="0" borderId="1" xfId="0" applyBorder="1"/>
    <xf numFmtId="0" fontId="0" fillId="0" borderId="1" xfId="0" applyBorder="1" applyAlignment="1">
      <alignment horizontal="center"/>
    </xf>
    <xf numFmtId="3" fontId="0" fillId="0" borderId="1" xfId="0" applyNumberFormat="1" applyBorder="1" applyAlignment="1">
      <alignment horizontal="center"/>
    </xf>
    <xf numFmtId="0" fontId="0" fillId="5" borderId="0" xfId="0" applyFill="1"/>
    <xf numFmtId="9" fontId="0" fillId="0" borderId="0" xfId="5" applyFont="1" applyAlignment="1">
      <alignment horizontal="center"/>
    </xf>
    <xf numFmtId="0" fontId="2" fillId="0" borderId="0" xfId="0" applyFont="1"/>
    <xf numFmtId="164" fontId="0" fillId="0" borderId="0" xfId="0" applyNumberFormat="1"/>
    <xf numFmtId="0" fontId="0" fillId="0" borderId="0" xfId="0" applyAlignment="1">
      <alignment horizontal="left"/>
    </xf>
    <xf numFmtId="0" fontId="0" fillId="0" borderId="0" xfId="0" quotePrefix="1"/>
    <xf numFmtId="0" fontId="0" fillId="5" borderId="0" xfId="0" applyFill="1" applyAlignment="1">
      <alignment horizontal="center"/>
    </xf>
    <xf numFmtId="0" fontId="2" fillId="7" borderId="0" xfId="0" applyFont="1" applyFill="1"/>
    <xf numFmtId="0" fontId="0" fillId="7" borderId="0" xfId="0" applyFill="1"/>
    <xf numFmtId="0" fontId="2" fillId="4" borderId="0" xfId="0" applyFont="1" applyFill="1"/>
    <xf numFmtId="44" fontId="0" fillId="0" borderId="0" xfId="0" applyNumberFormat="1"/>
    <xf numFmtId="0" fontId="0" fillId="6" borderId="1" xfId="0" applyFill="1" applyBorder="1"/>
    <xf numFmtId="0" fontId="0" fillId="6" borderId="1" xfId="0" applyFill="1" applyBorder="1" applyAlignment="1">
      <alignment horizontal="center"/>
    </xf>
    <xf numFmtId="0" fontId="0" fillId="6" borderId="0" xfId="0" applyFill="1"/>
    <xf numFmtId="0" fontId="0" fillId="8" borderId="0" xfId="0" applyFill="1"/>
    <xf numFmtId="0" fontId="0" fillId="9" borderId="0" xfId="0" applyFill="1"/>
    <xf numFmtId="165" fontId="0" fillId="6" borderId="0" xfId="2" applyNumberFormat="1" applyFont="1" applyFill="1" applyAlignment="1">
      <alignment horizontal="center"/>
    </xf>
    <xf numFmtId="0" fontId="0" fillId="5" borderId="0" xfId="0" applyFill="1" applyAlignment="1">
      <alignment vertical="center" wrapText="1"/>
    </xf>
    <xf numFmtId="0" fontId="0" fillId="10" borderId="0" xfId="0" applyFill="1"/>
    <xf numFmtId="44" fontId="2" fillId="0" borderId="0" xfId="2" applyFont="1"/>
    <xf numFmtId="167" fontId="0" fillId="4" borderId="0" xfId="0" applyNumberFormat="1" applyFill="1"/>
    <xf numFmtId="0" fontId="4" fillId="0" borderId="0" xfId="0" applyFont="1"/>
    <xf numFmtId="2" fontId="0" fillId="6" borderId="0" xfId="0" applyNumberFormat="1" applyFill="1" applyAlignment="1">
      <alignment vertical="center" wrapText="1"/>
    </xf>
    <xf numFmtId="164" fontId="2" fillId="0" borderId="0" xfId="0" applyNumberFormat="1" applyFont="1"/>
    <xf numFmtId="164" fontId="2" fillId="4" borderId="0" xfId="0" applyNumberFormat="1" applyFont="1" applyFill="1"/>
    <xf numFmtId="0" fontId="0" fillId="9" borderId="0" xfId="0" applyFill="1" applyAlignment="1">
      <alignment horizontal="center"/>
    </xf>
    <xf numFmtId="168" fontId="2" fillId="4" borderId="0" xfId="0" applyNumberFormat="1" applyFont="1" applyFill="1"/>
    <xf numFmtId="37" fontId="0" fillId="0" borderId="1" xfId="1" applyNumberFormat="1" applyFont="1" applyFill="1" applyBorder="1" applyAlignment="1">
      <alignment horizontal="center"/>
    </xf>
    <xf numFmtId="0" fontId="2" fillId="5" borderId="1" xfId="0" applyFont="1" applyFill="1" applyBorder="1" applyAlignment="1">
      <alignment horizontal="center"/>
    </xf>
    <xf numFmtId="166" fontId="0" fillId="0" borderId="0" xfId="0" applyNumberFormat="1" applyAlignment="1">
      <alignment horizontal="center"/>
    </xf>
    <xf numFmtId="165" fontId="0" fillId="0" borderId="0" xfId="2" applyNumberFormat="1" applyFont="1" applyFill="1" applyAlignment="1">
      <alignment horizontal="center"/>
    </xf>
    <xf numFmtId="0" fontId="0" fillId="11" borderId="0" xfId="0" applyFill="1"/>
    <xf numFmtId="0" fontId="2" fillId="8" borderId="1" xfId="0" applyFont="1" applyFill="1" applyBorder="1" applyAlignment="1">
      <alignment horizontal="center"/>
    </xf>
    <xf numFmtId="164" fontId="0" fillId="0" borderId="1" xfId="0" applyNumberFormat="1" applyBorder="1" applyAlignment="1">
      <alignment horizontal="center"/>
    </xf>
    <xf numFmtId="2" fontId="0" fillId="0" borderId="1" xfId="0" applyNumberFormat="1" applyBorder="1" applyAlignment="1">
      <alignment horizontal="center" vertical="center" wrapText="1"/>
    </xf>
    <xf numFmtId="2" fontId="0" fillId="0" borderId="1" xfId="0" applyNumberFormat="1" applyBorder="1" applyAlignment="1">
      <alignment horizontal="center"/>
    </xf>
    <xf numFmtId="7" fontId="0" fillId="4" borderId="0" xfId="0" applyNumberFormat="1" applyFill="1" applyAlignment="1">
      <alignment horizontal="center"/>
    </xf>
    <xf numFmtId="44" fontId="0" fillId="4" borderId="0" xfId="0" applyNumberFormat="1" applyFill="1"/>
  </cellXfs>
  <cellStyles count="6">
    <cellStyle name="20% - Accent1" xfId="3" builtinId="30"/>
    <cellStyle name="20% - Accent3" xfId="4" builtinId="38"/>
    <cellStyle name="Comma" xfId="1" builtinId="3"/>
    <cellStyle name="Currency" xfId="2" builtinId="4"/>
    <cellStyle name="Normal" xfId="0" builtinId="0"/>
    <cellStyle name="Percent" xfId="5"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eetMetadata" Target="metadata.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5" Type="http://schemas.openxmlformats.org/officeDocument/2006/relationships/customXml" Target="../customXml/item3.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 Id="rId14" Type="http://schemas.openxmlformats.org/officeDocument/2006/relationships/customXml" Target="../customXml/item2.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91363-3281-4A64-A38D-53CE006A6E4D}">
  <dimension ref="A1:E59"/>
  <sheetViews>
    <sheetView topLeftCell="A11" zoomScale="113" workbookViewId="0">
      <selection activeCell="A26" sqref="A26"/>
    </sheetView>
  </sheetViews>
  <sheetFormatPr defaultRowHeight="14.45"/>
  <cols>
    <col min="1" max="1" width="30.85546875" customWidth="1"/>
    <col min="2" max="2" width="13.85546875" customWidth="1"/>
    <col min="4" max="4" width="56.5703125" customWidth="1"/>
  </cols>
  <sheetData>
    <row r="1" spans="1:4">
      <c r="A1" s="2" t="s">
        <v>0</v>
      </c>
      <c r="B1" s="2" t="s">
        <v>1</v>
      </c>
      <c r="C1" s="2" t="s">
        <v>2</v>
      </c>
      <c r="D1" s="2" t="s">
        <v>3</v>
      </c>
    </row>
    <row r="3" spans="1:4">
      <c r="A3" s="9" t="s">
        <v>4</v>
      </c>
      <c r="B3" s="10">
        <v>0.08</v>
      </c>
      <c r="C3" s="10" t="s">
        <v>5</v>
      </c>
      <c r="D3" t="s">
        <v>6</v>
      </c>
    </row>
    <row r="4" spans="1:4">
      <c r="A4" s="9" t="s">
        <v>7</v>
      </c>
      <c r="B4" s="10">
        <v>3.5</v>
      </c>
      <c r="C4" s="10"/>
      <c r="D4" t="s">
        <v>8</v>
      </c>
    </row>
    <row r="5" spans="1:4">
      <c r="A5" s="9" t="s">
        <v>9</v>
      </c>
      <c r="B5" s="10">
        <v>3.5</v>
      </c>
      <c r="C5" s="10"/>
      <c r="D5" t="s">
        <v>10</v>
      </c>
    </row>
    <row r="6" spans="1:4">
      <c r="A6" s="9" t="s">
        <v>11</v>
      </c>
      <c r="B6" s="10">
        <v>3.3</v>
      </c>
      <c r="C6" s="10"/>
      <c r="D6" t="s">
        <v>12</v>
      </c>
    </row>
    <row r="7" spans="1:4">
      <c r="A7" s="9" t="s">
        <v>13</v>
      </c>
      <c r="B7" s="39">
        <v>2000</v>
      </c>
      <c r="C7" s="10" t="s">
        <v>14</v>
      </c>
      <c r="D7" t="s">
        <v>15</v>
      </c>
    </row>
    <row r="8" spans="1:4">
      <c r="A8" s="9" t="s">
        <v>16</v>
      </c>
      <c r="B8" s="11">
        <v>150000</v>
      </c>
      <c r="C8" s="10" t="s">
        <v>14</v>
      </c>
      <c r="D8" t="s">
        <v>17</v>
      </c>
    </row>
    <row r="9" spans="1:4">
      <c r="A9" s="9" t="s">
        <v>18</v>
      </c>
      <c r="B9" s="11">
        <v>36000</v>
      </c>
      <c r="C9" s="10" t="s">
        <v>14</v>
      </c>
      <c r="D9" t="s">
        <v>19</v>
      </c>
    </row>
    <row r="10" spans="1:4">
      <c r="A10" s="9" t="s">
        <v>20</v>
      </c>
      <c r="B10" s="11">
        <v>100000</v>
      </c>
      <c r="C10" s="10" t="s">
        <v>14</v>
      </c>
      <c r="D10" t="s">
        <v>21</v>
      </c>
    </row>
    <row r="11" spans="1:4">
      <c r="A11" s="9" t="s">
        <v>22</v>
      </c>
      <c r="B11" s="11">
        <v>100000</v>
      </c>
      <c r="C11" s="10" t="s">
        <v>14</v>
      </c>
      <c r="D11" t="s">
        <v>23</v>
      </c>
    </row>
    <row r="12" spans="1:4">
      <c r="A12" s="9" t="s">
        <v>24</v>
      </c>
      <c r="B12" s="11">
        <v>200000</v>
      </c>
      <c r="C12" s="10" t="s">
        <v>14</v>
      </c>
      <c r="D12" t="s">
        <v>25</v>
      </c>
    </row>
    <row r="13" spans="1:4">
      <c r="A13" s="23" t="s">
        <v>26</v>
      </c>
      <c r="B13" s="24">
        <v>98</v>
      </c>
      <c r="C13" s="24" t="s">
        <v>27</v>
      </c>
      <c r="D13" s="25" t="s">
        <v>28</v>
      </c>
    </row>
    <row r="14" spans="1:4">
      <c r="A14" s="9" t="s">
        <v>29</v>
      </c>
      <c r="B14" s="10">
        <v>2.89</v>
      </c>
      <c r="C14" s="10" t="s">
        <v>30</v>
      </c>
      <c r="D14" s="25" t="s">
        <v>31</v>
      </c>
    </row>
    <row r="15" spans="1:4">
      <c r="A15" s="9" t="s">
        <v>32</v>
      </c>
      <c r="B15" s="10">
        <v>0.8</v>
      </c>
      <c r="C15" s="10" t="s">
        <v>30</v>
      </c>
      <c r="D15" s="25" t="s">
        <v>33</v>
      </c>
    </row>
    <row r="16" spans="1:4">
      <c r="A16" s="9" t="s">
        <v>34</v>
      </c>
      <c r="B16" s="10">
        <v>6</v>
      </c>
      <c r="C16" s="10" t="s">
        <v>30</v>
      </c>
      <c r="D16" s="25" t="s">
        <v>35</v>
      </c>
    </row>
    <row r="17" spans="1:4">
      <c r="A17" s="9" t="s">
        <v>36</v>
      </c>
      <c r="B17" s="10">
        <v>6</v>
      </c>
      <c r="C17" s="10" t="s">
        <v>27</v>
      </c>
      <c r="D17" t="s">
        <v>37</v>
      </c>
    </row>
    <row r="18" spans="1:4">
      <c r="A18" s="9" t="s">
        <v>38</v>
      </c>
      <c r="B18" s="10">
        <v>20</v>
      </c>
      <c r="C18" s="10" t="s">
        <v>39</v>
      </c>
      <c r="D18" t="s">
        <v>40</v>
      </c>
    </row>
    <row r="19" spans="1:4">
      <c r="A19" s="9" t="s">
        <v>41</v>
      </c>
      <c r="B19" s="10">
        <v>250</v>
      </c>
      <c r="C19" s="10" t="s">
        <v>42</v>
      </c>
      <c r="D19" t="s">
        <v>43</v>
      </c>
    </row>
    <row r="20" spans="1:4">
      <c r="A20" s="9" t="s">
        <v>44</v>
      </c>
      <c r="B20" s="10">
        <v>1.3</v>
      </c>
      <c r="C20" s="10" t="s">
        <v>45</v>
      </c>
      <c r="D20" t="s">
        <v>46</v>
      </c>
    </row>
    <row r="21" spans="1:4">
      <c r="A21" s="9" t="s">
        <v>47</v>
      </c>
      <c r="B21" s="10">
        <v>4.5</v>
      </c>
      <c r="C21" s="10" t="s">
        <v>45</v>
      </c>
      <c r="D21" t="s">
        <v>46</v>
      </c>
    </row>
    <row r="22" spans="1:4">
      <c r="A22" s="9" t="s">
        <v>48</v>
      </c>
      <c r="B22" s="10">
        <v>35</v>
      </c>
      <c r="C22" s="10" t="s">
        <v>45</v>
      </c>
      <c r="D22" t="s">
        <v>49</v>
      </c>
    </row>
    <row r="23" spans="1:4">
      <c r="A23" s="9" t="s">
        <v>50</v>
      </c>
      <c r="B23" s="10">
        <v>50</v>
      </c>
      <c r="C23" s="10" t="s">
        <v>45</v>
      </c>
      <c r="D23" t="s">
        <v>46</v>
      </c>
    </row>
    <row r="24" spans="1:4">
      <c r="A24" s="9" t="s">
        <v>51</v>
      </c>
      <c r="B24" s="10">
        <v>12.5</v>
      </c>
      <c r="C24" s="10" t="s">
        <v>45</v>
      </c>
      <c r="D24" t="s">
        <v>52</v>
      </c>
    </row>
    <row r="25" spans="1:4">
      <c r="A25" s="9" t="s">
        <v>53</v>
      </c>
      <c r="B25" s="10">
        <v>5.7</v>
      </c>
      <c r="C25" s="10" t="s">
        <v>45</v>
      </c>
      <c r="D25" t="s">
        <v>52</v>
      </c>
    </row>
    <row r="26" spans="1:4">
      <c r="A26" s="9" t="s">
        <v>54</v>
      </c>
      <c r="B26" s="10">
        <f>B25+23</f>
        <v>28.7</v>
      </c>
      <c r="C26" s="10" t="s">
        <v>45</v>
      </c>
      <c r="D26" t="s">
        <v>52</v>
      </c>
    </row>
    <row r="29" spans="1:4">
      <c r="A29" s="30" t="s">
        <v>55</v>
      </c>
      <c r="B29" s="30" t="s">
        <v>56</v>
      </c>
      <c r="C29" s="30" t="s">
        <v>57</v>
      </c>
      <c r="D29" s="30"/>
    </row>
    <row r="30" spans="1:4">
      <c r="A30" t="s">
        <v>58</v>
      </c>
      <c r="B30" t="s">
        <v>59</v>
      </c>
      <c r="C30">
        <v>1.96</v>
      </c>
    </row>
    <row r="31" spans="1:4">
      <c r="A31" t="s">
        <v>60</v>
      </c>
      <c r="B31" t="s">
        <v>61</v>
      </c>
      <c r="C31">
        <v>5.43</v>
      </c>
    </row>
    <row r="32" spans="1:4">
      <c r="A32" t="s">
        <v>62</v>
      </c>
      <c r="B32" t="s">
        <v>63</v>
      </c>
      <c r="C32">
        <v>2.99</v>
      </c>
    </row>
    <row r="33" spans="1:5">
      <c r="A33" t="s">
        <v>64</v>
      </c>
      <c r="B33" t="s">
        <v>59</v>
      </c>
      <c r="C33">
        <v>1.49</v>
      </c>
    </row>
    <row r="34" spans="1:5">
      <c r="A34" t="s">
        <v>65</v>
      </c>
      <c r="B34" t="s">
        <v>66</v>
      </c>
      <c r="C34">
        <v>1.79</v>
      </c>
      <c r="E34" t="s">
        <v>67</v>
      </c>
    </row>
    <row r="35" spans="1:5">
      <c r="A35" t="s">
        <v>68</v>
      </c>
      <c r="B35" t="s">
        <v>66</v>
      </c>
      <c r="C35">
        <v>1.7</v>
      </c>
    </row>
    <row r="36" spans="1:5">
      <c r="A36" t="s">
        <v>69</v>
      </c>
      <c r="B36" t="s">
        <v>59</v>
      </c>
      <c r="C36">
        <v>2.5</v>
      </c>
      <c r="E36" t="s">
        <v>70</v>
      </c>
    </row>
    <row r="37" spans="1:5">
      <c r="A37" t="s">
        <v>71</v>
      </c>
      <c r="B37" t="s">
        <v>66</v>
      </c>
      <c r="C37">
        <v>8.1999999999999993</v>
      </c>
    </row>
    <row r="38" spans="1:5">
      <c r="A38" t="s">
        <v>72</v>
      </c>
      <c r="B38" t="s">
        <v>59</v>
      </c>
      <c r="C38">
        <v>5.29</v>
      </c>
    </row>
    <row r="39" spans="1:5">
      <c r="A39" t="s">
        <v>73</v>
      </c>
      <c r="B39" t="s">
        <v>61</v>
      </c>
      <c r="C39">
        <v>1.98</v>
      </c>
    </row>
    <row r="40" spans="1:5">
      <c r="A40" t="s">
        <v>74</v>
      </c>
      <c r="B40" t="s">
        <v>61</v>
      </c>
      <c r="C40">
        <v>1.98</v>
      </c>
    </row>
    <row r="41" spans="1:5">
      <c r="A41" t="s">
        <v>75</v>
      </c>
      <c r="B41" t="s">
        <v>61</v>
      </c>
      <c r="C41">
        <v>1.98</v>
      </c>
    </row>
    <row r="42" spans="1:5">
      <c r="A42" t="s">
        <v>76</v>
      </c>
      <c r="B42" t="s">
        <v>61</v>
      </c>
      <c r="C42">
        <v>2</v>
      </c>
    </row>
    <row r="43" spans="1:5">
      <c r="A43" t="s">
        <v>77</v>
      </c>
      <c r="B43" t="s">
        <v>78</v>
      </c>
      <c r="C43">
        <v>3</v>
      </c>
    </row>
    <row r="44" spans="1:5">
      <c r="A44" t="s">
        <v>79</v>
      </c>
      <c r="B44" t="s">
        <v>61</v>
      </c>
      <c r="C44">
        <v>2.5</v>
      </c>
    </row>
    <row r="45" spans="1:5">
      <c r="A45" t="s">
        <v>80</v>
      </c>
      <c r="B45" t="s">
        <v>78</v>
      </c>
      <c r="C45">
        <v>2.2000000000000002</v>
      </c>
    </row>
    <row r="46" spans="1:5">
      <c r="A46" t="s">
        <v>81</v>
      </c>
      <c r="B46" t="s">
        <v>78</v>
      </c>
      <c r="C46">
        <v>2.1</v>
      </c>
    </row>
    <row r="48" spans="1:5">
      <c r="B48" t="s">
        <v>82</v>
      </c>
      <c r="C48" s="31">
        <f>SUM(C30:C46)/17</f>
        <v>2.887647058823529</v>
      </c>
    </row>
    <row r="50" spans="1:4" ht="16.5">
      <c r="A50" s="30" t="s">
        <v>55</v>
      </c>
      <c r="B50" s="30" t="s">
        <v>83</v>
      </c>
      <c r="C50" s="30" t="s">
        <v>84</v>
      </c>
      <c r="D50" s="30"/>
    </row>
    <row r="51" spans="1:4">
      <c r="A51" t="s">
        <v>85</v>
      </c>
      <c r="B51" t="s">
        <v>83</v>
      </c>
    </row>
    <row r="52" spans="1:4">
      <c r="A52" t="s">
        <v>86</v>
      </c>
      <c r="B52" t="s">
        <v>83</v>
      </c>
    </row>
    <row r="53" spans="1:4">
      <c r="A53" t="s">
        <v>87</v>
      </c>
      <c r="B53" t="s">
        <v>83</v>
      </c>
    </row>
    <row r="54" spans="1:4">
      <c r="A54" t="s">
        <v>88</v>
      </c>
      <c r="B54" t="s">
        <v>83</v>
      </c>
    </row>
    <row r="55" spans="1:4">
      <c r="A55" t="s">
        <v>89</v>
      </c>
      <c r="B55" t="s">
        <v>83</v>
      </c>
    </row>
    <row r="59" spans="1:4" ht="16.5">
      <c r="A59" s="30" t="s">
        <v>55</v>
      </c>
      <c r="B59" s="30" t="s">
        <v>90</v>
      </c>
      <c r="C59" s="30" t="s">
        <v>84</v>
      </c>
      <c r="D59" s="30"/>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612B4-DCCE-4A27-91AD-99D38C5F7368}">
  <dimension ref="A1:Z48"/>
  <sheetViews>
    <sheetView tabSelected="1" zoomScale="75" zoomScaleNormal="75" workbookViewId="0">
      <selection activeCell="A49" sqref="A49:XFD61"/>
    </sheetView>
  </sheetViews>
  <sheetFormatPr defaultRowHeight="14.45"/>
  <cols>
    <col min="1" max="1" width="41.5703125" customWidth="1"/>
    <col min="2" max="2" width="17.140625" customWidth="1"/>
    <col min="4" max="4" width="50" customWidth="1"/>
    <col min="5" max="5" width="16.42578125" customWidth="1"/>
    <col min="6" max="6" width="12.5703125" customWidth="1"/>
    <col min="9" max="9" width="21.28515625" customWidth="1"/>
    <col min="11" max="11" width="41.42578125" customWidth="1"/>
  </cols>
  <sheetData>
    <row r="1" spans="1:5">
      <c r="A1" s="3" t="s">
        <v>91</v>
      </c>
      <c r="B1" s="3" t="s">
        <v>1</v>
      </c>
      <c r="C1" s="3" t="s">
        <v>92</v>
      </c>
      <c r="D1" s="3" t="s">
        <v>3</v>
      </c>
    </row>
    <row r="2" spans="1:5">
      <c r="A2" t="s">
        <v>93</v>
      </c>
      <c r="B2" s="1">
        <v>1</v>
      </c>
      <c r="C2" t="s">
        <v>94</v>
      </c>
      <c r="D2" t="s">
        <v>95</v>
      </c>
    </row>
    <row r="3" spans="1:5">
      <c r="A3" t="s">
        <v>96</v>
      </c>
      <c r="B3" s="41">
        <f>B2/0.685</f>
        <v>1.4598540145985401</v>
      </c>
      <c r="C3" t="s">
        <v>94</v>
      </c>
      <c r="D3" t="s">
        <v>97</v>
      </c>
    </row>
    <row r="4" spans="1:5">
      <c r="A4" t="s">
        <v>98</v>
      </c>
      <c r="B4" s="4">
        <f>(B3*1000*24)/B7</f>
        <v>700.72992700729924</v>
      </c>
      <c r="C4" t="s">
        <v>99</v>
      </c>
      <c r="D4" t="s">
        <v>100</v>
      </c>
    </row>
    <row r="5" spans="1:5">
      <c r="A5" t="s">
        <v>101</v>
      </c>
      <c r="B5" s="42">
        <v>2557664.2335766423</v>
      </c>
      <c r="D5" t="s">
        <v>102</v>
      </c>
    </row>
    <row r="6" spans="1:5">
      <c r="A6" t="s">
        <v>103</v>
      </c>
      <c r="B6" s="1">
        <f>Assumptions!B21</f>
        <v>4.5</v>
      </c>
      <c r="C6" t="s">
        <v>45</v>
      </c>
      <c r="D6" t="s">
        <v>104</v>
      </c>
    </row>
    <row r="7" spans="1:5">
      <c r="A7" t="s">
        <v>105</v>
      </c>
      <c r="B7" s="1">
        <f>Assumptions!B23</f>
        <v>50</v>
      </c>
      <c r="C7" t="s">
        <v>45</v>
      </c>
      <c r="D7" t="s">
        <v>104</v>
      </c>
    </row>
    <row r="8" spans="1:5">
      <c r="A8" t="s">
        <v>106</v>
      </c>
      <c r="B8" s="1">
        <f>Assumptions!B6</f>
        <v>3.3</v>
      </c>
      <c r="D8" t="s">
        <v>107</v>
      </c>
    </row>
    <row r="9" spans="1:5">
      <c r="A9" s="5" t="s">
        <v>108</v>
      </c>
      <c r="B9" s="18"/>
      <c r="C9" s="12"/>
      <c r="D9" s="12"/>
    </row>
    <row r="10" spans="1:5">
      <c r="A10" t="s">
        <v>109</v>
      </c>
      <c r="B10" s="7">
        <f>Assumptions!B3*B4*B6*365</f>
        <v>92075.912408759119</v>
      </c>
      <c r="D10" t="s">
        <v>110</v>
      </c>
    </row>
    <row r="11" spans="1:5">
      <c r="A11" t="s">
        <v>111</v>
      </c>
      <c r="B11" s="28">
        <f>X39*Assumptions!B3*1000</f>
        <v>328837.30469928216</v>
      </c>
      <c r="D11" t="s">
        <v>112</v>
      </c>
    </row>
    <row r="12" spans="1:5">
      <c r="A12" t="s">
        <v>113</v>
      </c>
      <c r="B12" s="28">
        <f>X40*Assumptions!B3*1000</f>
        <v>308321.16788321175</v>
      </c>
      <c r="D12" t="s">
        <v>112</v>
      </c>
    </row>
    <row r="13" spans="1:5">
      <c r="A13" t="s">
        <v>114</v>
      </c>
      <c r="B13" s="28">
        <f>X48*Assumptions!B3*1000</f>
        <v>231240.87591240878</v>
      </c>
      <c r="D13" t="s">
        <v>112</v>
      </c>
    </row>
    <row r="14" spans="1:5">
      <c r="A14" t="s">
        <v>115</v>
      </c>
      <c r="B14" s="7">
        <v>2557664.2335766423</v>
      </c>
      <c r="D14" t="s">
        <v>116</v>
      </c>
    </row>
    <row r="15" spans="1:5">
      <c r="A15" t="s">
        <v>117</v>
      </c>
      <c r="B15" s="7">
        <f>-PMT((Assumptions!B17/100)/12,12*Assumptions!B18,B14,0)*12</f>
        <v>219886.81129116696</v>
      </c>
      <c r="D15" t="s">
        <v>116</v>
      </c>
      <c r="E15" s="22"/>
    </row>
    <row r="16" spans="1:5">
      <c r="A16" t="s">
        <v>118</v>
      </c>
      <c r="B16" s="8">
        <f>2*Assumptions!B19*B2*1000</f>
        <v>500000</v>
      </c>
      <c r="D16" t="s">
        <v>116</v>
      </c>
    </row>
    <row r="17" spans="1:9">
      <c r="A17" t="s">
        <v>119</v>
      </c>
      <c r="B17" s="7">
        <f>-PMT((Assumptions!B17/100)/12,12*Assumptions!B18,B16,0)*12</f>
        <v>42985.863508689894</v>
      </c>
      <c r="D17" t="s">
        <v>120</v>
      </c>
    </row>
    <row r="18" spans="1:9">
      <c r="A18" t="s">
        <v>121</v>
      </c>
      <c r="B18" s="8">
        <f>0.100278*B14</f>
        <v>256477.45401459857</v>
      </c>
      <c r="D18" t="s">
        <v>116</v>
      </c>
      <c r="I18" s="6"/>
    </row>
    <row r="19" spans="1:9">
      <c r="A19" s="5" t="s">
        <v>122</v>
      </c>
      <c r="B19" s="12"/>
      <c r="C19" s="12"/>
      <c r="D19" s="12"/>
    </row>
    <row r="20" spans="1:9">
      <c r="A20" t="s">
        <v>109</v>
      </c>
      <c r="B20" s="7">
        <f>Assumptions!B3*B4*Assumptions!B26*365</f>
        <v>587239.70802919706</v>
      </c>
      <c r="D20" t="s">
        <v>123</v>
      </c>
    </row>
    <row r="21" spans="1:9">
      <c r="A21" t="s">
        <v>124</v>
      </c>
      <c r="B21" s="7">
        <v>2732846.7153284671</v>
      </c>
      <c r="D21" t="s">
        <v>125</v>
      </c>
    </row>
    <row r="22" spans="1:9">
      <c r="A22" t="s">
        <v>126</v>
      </c>
      <c r="B22" s="7">
        <f>-PMT((Assumptions!B17/100)/12,12*Assumptions!B18,B21,0)*12</f>
        <v>234947.55179056193</v>
      </c>
      <c r="D22" t="s">
        <v>116</v>
      </c>
    </row>
    <row r="23" spans="1:9">
      <c r="A23" t="s">
        <v>127</v>
      </c>
      <c r="B23" s="8">
        <f>0.12*B21</f>
        <v>327941.60583941604</v>
      </c>
      <c r="D23" t="s">
        <v>125</v>
      </c>
    </row>
    <row r="24" spans="1:9">
      <c r="A24" t="s">
        <v>128</v>
      </c>
      <c r="B24" s="13">
        <f>(Assumptions!B12-Assumptions!B11)/Assumptions!B12</f>
        <v>0.5</v>
      </c>
      <c r="D24" t="s">
        <v>116</v>
      </c>
    </row>
    <row r="25" spans="1:9">
      <c r="A25" t="s">
        <v>129</v>
      </c>
      <c r="B25" s="13"/>
    </row>
    <row r="26" spans="1:9">
      <c r="A26" s="21" t="s">
        <v>130</v>
      </c>
      <c r="B26" s="38">
        <f>((B15+B17+B11+B10+B18)/365)/B4</f>
        <v>3.6762579449595334</v>
      </c>
      <c r="D26" s="17" t="s">
        <v>131</v>
      </c>
    </row>
    <row r="27" spans="1:9">
      <c r="A27" s="21" t="s">
        <v>132</v>
      </c>
      <c r="B27" s="38">
        <f>((B15+B17+B12+B10+B18)/365)/B4</f>
        <v>3.5960435972482991</v>
      </c>
      <c r="D27" s="17" t="s">
        <v>133</v>
      </c>
    </row>
    <row r="28" spans="1:9">
      <c r="A28" s="21" t="s">
        <v>134</v>
      </c>
      <c r="B28" s="38">
        <f>((B15+B17+B13+$B$10+$B$18)/365)/B4</f>
        <v>3.2946737342346006</v>
      </c>
      <c r="D28" s="17" t="s">
        <v>135</v>
      </c>
    </row>
    <row r="29" spans="1:9">
      <c r="A29" s="21" t="s">
        <v>136</v>
      </c>
      <c r="B29" s="38">
        <f>((B22+B23+B20)/365)/B4</f>
        <v>4.4967937955281672</v>
      </c>
      <c r="D29" s="17" t="s">
        <v>137</v>
      </c>
    </row>
    <row r="30" spans="1:9">
      <c r="B30" s="13"/>
      <c r="D30" s="17"/>
    </row>
    <row r="33" spans="1:26">
      <c r="A33" s="14" t="str">
        <f>K36</f>
        <v>Dallas</v>
      </c>
      <c r="B33" s="27" t="s">
        <v>138</v>
      </c>
      <c r="C33" s="37" t="s">
        <v>30</v>
      </c>
      <c r="D33" s="37" t="s">
        <v>139</v>
      </c>
      <c r="E33" s="27" t="s">
        <v>140</v>
      </c>
      <c r="F33" s="37" t="s">
        <v>30</v>
      </c>
      <c r="G33" s="37" t="s">
        <v>139</v>
      </c>
      <c r="K33" s="19" t="s">
        <v>141</v>
      </c>
      <c r="L33" s="20"/>
      <c r="M33" s="20"/>
      <c r="N33" s="20"/>
      <c r="O33" s="20"/>
      <c r="P33" s="20"/>
      <c r="Q33" s="20"/>
    </row>
    <row r="34" spans="1:26">
      <c r="B34" s="21" t="s">
        <v>130</v>
      </c>
      <c r="C34" s="32">
        <f>($B$10+$B$38+$B$15+$B$17+$B$18)/($B$4*365)</f>
        <v>3.676257944959533</v>
      </c>
      <c r="D34" s="48">
        <f>C34/6.2</f>
        <v>0.59294482983218266</v>
      </c>
      <c r="E34" s="21" t="s">
        <v>130</v>
      </c>
      <c r="F34" s="32">
        <f>($B$10+$B$39+$B$15+$B$17+$B$18)/($B$4*365)</f>
        <v>3.5960435972482991</v>
      </c>
      <c r="G34" s="49">
        <f>F34/6.2</f>
        <v>0.58000703181424174</v>
      </c>
    </row>
    <row r="35" spans="1:26">
      <c r="B35" s="21" t="s">
        <v>142</v>
      </c>
      <c r="C35" s="32">
        <f>($B$10+$B$12+$B$15+$B$17+$B$18)/($B$4*365)</f>
        <v>3.5960435972482991</v>
      </c>
      <c r="D35" s="48">
        <f t="shared" ref="D35:D36" si="0">C35/6.2</f>
        <v>0.58000703181424174</v>
      </c>
      <c r="E35" s="21" t="s">
        <v>142</v>
      </c>
      <c r="F35" s="32">
        <f>($B$10+$B$13+$B$15+$B$17+$B$18)/($B$4*365)</f>
        <v>3.2946737342346002</v>
      </c>
      <c r="G35" s="49">
        <f t="shared" ref="G35:G36" si="1">F35/6.2</f>
        <v>0.53139898939267749</v>
      </c>
      <c r="K35" s="14" t="s">
        <v>143</v>
      </c>
      <c r="L35" s="26" t="s">
        <v>144</v>
      </c>
      <c r="M35" s="26" t="s">
        <v>145</v>
      </c>
      <c r="N35" s="26" t="s">
        <v>146</v>
      </c>
      <c r="O35" s="26" t="s">
        <v>147</v>
      </c>
      <c r="P35" s="26" t="s">
        <v>148</v>
      </c>
      <c r="Q35" s="26" t="s">
        <v>149</v>
      </c>
      <c r="R35" s="26" t="s">
        <v>150</v>
      </c>
      <c r="S35" s="26" t="s">
        <v>151</v>
      </c>
      <c r="T35" s="26" t="s">
        <v>152</v>
      </c>
      <c r="U35" s="26" t="s">
        <v>153</v>
      </c>
      <c r="V35" s="26" t="s">
        <v>154</v>
      </c>
      <c r="W35" s="26" t="s">
        <v>155</v>
      </c>
      <c r="X35" s="26" t="s">
        <v>156</v>
      </c>
      <c r="Y35" s="26"/>
      <c r="Z35" s="26"/>
    </row>
    <row r="36" spans="1:26">
      <c r="B36" s="21" t="s">
        <v>157</v>
      </c>
      <c r="C36" s="32">
        <f>($B$20+$B$22+$B$23)/($B$4*365)</f>
        <v>4.4967937955281672</v>
      </c>
      <c r="D36" s="48">
        <f t="shared" si="0"/>
        <v>0.72528932185938177</v>
      </c>
      <c r="E36" s="21" t="s">
        <v>157</v>
      </c>
      <c r="F36" s="32">
        <f>($B$20+$B$22+$B$23)/($B$4*365)</f>
        <v>4.4967937955281672</v>
      </c>
      <c r="G36" s="49">
        <f t="shared" si="1"/>
        <v>0.72528932185938177</v>
      </c>
      <c r="K36" s="33" t="str">
        <f>'CAPEX &amp; Opex produced'!B6</f>
        <v>Dallas</v>
      </c>
      <c r="L36" s="29">
        <f>'CAPEX &amp; Opex produced'!C6</f>
        <v>8.6</v>
      </c>
      <c r="M36" s="29">
        <f>'CAPEX &amp; Opex produced'!D6</f>
        <v>10.3</v>
      </c>
      <c r="N36" s="29">
        <f>'CAPEX &amp; Opex produced'!E6</f>
        <v>14.6</v>
      </c>
      <c r="O36" s="29">
        <f>'CAPEX &amp; Opex produced'!F6</f>
        <v>18.7</v>
      </c>
      <c r="P36" s="29">
        <f>'CAPEX &amp; Opex produced'!G6</f>
        <v>23.3</v>
      </c>
      <c r="Q36" s="29">
        <f>'CAPEX &amp; Opex produced'!H6</f>
        <v>27.8</v>
      </c>
      <c r="R36" s="29">
        <f>'CAPEX &amp; Opex produced'!I6</f>
        <v>30.3</v>
      </c>
      <c r="S36" s="29">
        <f>'CAPEX &amp; Opex produced'!J6</f>
        <v>30.3</v>
      </c>
      <c r="T36" s="29">
        <f>'CAPEX &amp; Opex produced'!K6</f>
        <v>26.9</v>
      </c>
      <c r="U36" s="29">
        <f>'CAPEX &amp; Opex produced'!L6</f>
        <v>20.9</v>
      </c>
      <c r="V36" s="29">
        <f>'CAPEX &amp; Opex produced'!M6</f>
        <v>14.7</v>
      </c>
      <c r="W36" s="29">
        <f>'CAPEX &amp; Opex produced'!N6</f>
        <v>9</v>
      </c>
    </row>
    <row r="37" spans="1:26">
      <c r="K37" t="s">
        <v>158</v>
      </c>
      <c r="L37" s="34">
        <f>'CAPEX &amp; Opex produced'!C7</f>
        <v>2.6756756756756759</v>
      </c>
      <c r="M37" s="34">
        <f>'CAPEX &amp; Opex produced'!D7</f>
        <v>2.7327478042659976</v>
      </c>
      <c r="N37" s="34">
        <f>'CAPEX &amp; Opex produced'!E7</f>
        <v>2.8885941644562338</v>
      </c>
      <c r="O37" s="34">
        <f>'CAPEX &amp; Opex produced'!F7</f>
        <v>3.0546984572230005</v>
      </c>
      <c r="P37" s="34">
        <f>'CAPEX &amp; Opex produced'!G7</f>
        <v>3.2653673163418291</v>
      </c>
      <c r="Q37" s="34">
        <f>'CAPEX &amp; Opex produced'!H7</f>
        <v>3.5016077170418014</v>
      </c>
      <c r="R37" s="34">
        <f>'CAPEX &amp; Opex produced'!I7</f>
        <v>3.6482412060301508</v>
      </c>
      <c r="S37" s="34">
        <f>'CAPEX &amp; Opex produced'!J7</f>
        <v>3.6482412060301508</v>
      </c>
      <c r="T37" s="34">
        <f>'CAPEX &amp; Opex produced'!K7</f>
        <v>3.4516640253565751</v>
      </c>
      <c r="U37" s="34">
        <f>'CAPEX &amp; Opex produced'!L7</f>
        <v>3.1519536903039063</v>
      </c>
      <c r="V37" s="34">
        <f>'CAPEX &amp; Opex produced'!M7</f>
        <v>2.8924302788844618</v>
      </c>
      <c r="W37" s="34">
        <f>'CAPEX &amp; Opex produced'!N7</f>
        <v>2.6888888888888891</v>
      </c>
      <c r="X37" t="s">
        <v>159</v>
      </c>
    </row>
    <row r="38" spans="1:26">
      <c r="A38" t="s">
        <v>160</v>
      </c>
      <c r="B38" s="28">
        <f>X39*Assumptions!B3*1000</f>
        <v>328837.30469928216</v>
      </c>
      <c r="K38" t="s">
        <v>161</v>
      </c>
      <c r="L38">
        <f>'CAPEX &amp; Opex produced'!$M$18</f>
        <v>3.3</v>
      </c>
      <c r="M38">
        <f>'CAPEX &amp; Opex produced'!$M$18</f>
        <v>3.3</v>
      </c>
      <c r="N38">
        <f>'CAPEX &amp; Opex produced'!$M$18</f>
        <v>3.3</v>
      </c>
      <c r="O38">
        <f>'CAPEX &amp; Opex produced'!$M$18</f>
        <v>3.3</v>
      </c>
      <c r="P38">
        <f>'CAPEX &amp; Opex produced'!$M$18</f>
        <v>3.3</v>
      </c>
      <c r="Q38">
        <f>'CAPEX &amp; Opex produced'!$M$18</f>
        <v>3.3</v>
      </c>
      <c r="R38">
        <f>'CAPEX &amp; Opex produced'!$M$18</f>
        <v>3.3</v>
      </c>
      <c r="S38">
        <f>'CAPEX &amp; Opex produced'!$M$18</f>
        <v>3.3</v>
      </c>
      <c r="T38">
        <f>'CAPEX &amp; Opex produced'!$M$18</f>
        <v>3.3</v>
      </c>
      <c r="U38">
        <f>'CAPEX &amp; Opex produced'!$M$18</f>
        <v>3.3</v>
      </c>
      <c r="V38">
        <f>'CAPEX &amp; Opex produced'!$M$18</f>
        <v>3.3</v>
      </c>
      <c r="W38">
        <f>'CAPEX &amp; Opex produced'!$M$18</f>
        <v>3.3</v>
      </c>
      <c r="X38" t="s">
        <v>162</v>
      </c>
    </row>
    <row r="39" spans="1:26">
      <c r="A39" t="s">
        <v>163</v>
      </c>
      <c r="B39" s="28">
        <f>X40*Assumptions!B3*1000</f>
        <v>308321.16788321175</v>
      </c>
      <c r="D39" s="25" t="s">
        <v>164</v>
      </c>
      <c r="K39" t="s">
        <v>165</v>
      </c>
      <c r="L39" s="15">
        <f>($B$3/L37)*31*24</f>
        <v>405.92789205927892</v>
      </c>
      <c r="M39" s="15">
        <f>($B$3/M37)*28*24</f>
        <v>358.98735195350991</v>
      </c>
      <c r="N39" s="15">
        <f t="shared" ref="N39:W40" si="2">($B$3/N37)*31*24</f>
        <v>376.00691721461453</v>
      </c>
      <c r="O39" s="15">
        <f>($B$3/O37)*30*24</f>
        <v>344.0912107136395</v>
      </c>
      <c r="P39" s="15">
        <f t="shared" si="2"/>
        <v>332.62150368985141</v>
      </c>
      <c r="Q39" s="15">
        <f t="shared" ref="Q39:T40" si="3">($B$3/Q37)*30*24</f>
        <v>300.17494118356751</v>
      </c>
      <c r="R39" s="15">
        <f t="shared" si="3"/>
        <v>288.11003197200944</v>
      </c>
      <c r="S39" s="15">
        <f t="shared" si="3"/>
        <v>288.11003197200944</v>
      </c>
      <c r="T39" s="15">
        <f t="shared" si="3"/>
        <v>304.51830849972868</v>
      </c>
      <c r="U39" s="15">
        <f t="shared" si="2"/>
        <v>344.58989362771723</v>
      </c>
      <c r="V39" s="15">
        <f>($B$3/V37)*30*24</f>
        <v>363.39506545213254</v>
      </c>
      <c r="W39" s="15">
        <f t="shared" si="2"/>
        <v>403.93316040296793</v>
      </c>
      <c r="X39">
        <f>SUM(L39:W39)</f>
        <v>4110.4663087410272</v>
      </c>
    </row>
    <row r="40" spans="1:26">
      <c r="A40" s="16" t="s">
        <v>166</v>
      </c>
      <c r="B40" s="28">
        <f>X48*Assumptions!B3*1000</f>
        <v>231240.87591240878</v>
      </c>
      <c r="D40" s="25" t="s">
        <v>167</v>
      </c>
      <c r="K40" t="s">
        <v>168</v>
      </c>
      <c r="L40" s="15">
        <f>($B$3/L38)*31*24</f>
        <v>329.13072329130722</v>
      </c>
      <c r="M40" s="15">
        <f>($B$3/M38)*28*24</f>
        <v>297.27936297279365</v>
      </c>
      <c r="N40" s="15">
        <f t="shared" si="2"/>
        <v>329.13072329130722</v>
      </c>
      <c r="O40" s="15">
        <f>($B$3/O38)*30*24</f>
        <v>318.51360318513605</v>
      </c>
      <c r="P40" s="15">
        <f t="shared" si="2"/>
        <v>329.13072329130722</v>
      </c>
      <c r="Q40" s="15">
        <f t="shared" si="3"/>
        <v>318.51360318513605</v>
      </c>
      <c r="R40" s="15">
        <f t="shared" si="3"/>
        <v>318.51360318513605</v>
      </c>
      <c r="S40" s="15">
        <f t="shared" si="3"/>
        <v>318.51360318513605</v>
      </c>
      <c r="T40" s="15">
        <f t="shared" si="3"/>
        <v>318.51360318513605</v>
      </c>
      <c r="U40" s="15">
        <f t="shared" si="2"/>
        <v>329.13072329130722</v>
      </c>
      <c r="V40" s="15">
        <f>($B$3/V38)*30*24</f>
        <v>318.51360318513605</v>
      </c>
      <c r="W40" s="15">
        <f t="shared" si="2"/>
        <v>329.13072329130722</v>
      </c>
      <c r="X40">
        <f>SUM(L40:W40)</f>
        <v>3854.0145985401468</v>
      </c>
    </row>
    <row r="41" spans="1:26">
      <c r="J41" s="14"/>
      <c r="K41" s="19" t="s">
        <v>169</v>
      </c>
      <c r="L41" s="20"/>
      <c r="M41" s="20"/>
      <c r="N41" s="20"/>
      <c r="O41" s="20"/>
      <c r="P41" s="20"/>
      <c r="Q41" s="20"/>
    </row>
    <row r="42" spans="1:26">
      <c r="P42" t="e" vm="1">
        <v>#VALUE!</v>
      </c>
    </row>
    <row r="43" spans="1:26">
      <c r="K43" s="14" t="s">
        <v>143</v>
      </c>
      <c r="L43" s="26" t="s">
        <v>144</v>
      </c>
      <c r="M43" s="26" t="s">
        <v>145</v>
      </c>
      <c r="N43" s="26" t="s">
        <v>146</v>
      </c>
      <c r="O43" s="26" t="s">
        <v>147</v>
      </c>
      <c r="P43" s="26" t="s">
        <v>148</v>
      </c>
      <c r="Q43" s="26" t="s">
        <v>149</v>
      </c>
      <c r="R43" s="26" t="s">
        <v>150</v>
      </c>
      <c r="S43" s="26" t="s">
        <v>151</v>
      </c>
      <c r="T43" s="26" t="s">
        <v>152</v>
      </c>
      <c r="U43" s="26" t="s">
        <v>153</v>
      </c>
      <c r="V43" s="26" t="s">
        <v>154</v>
      </c>
      <c r="W43" s="26" t="s">
        <v>155</v>
      </c>
      <c r="X43" s="26" t="s">
        <v>156</v>
      </c>
      <c r="Y43" s="26"/>
      <c r="Z43" s="26"/>
    </row>
    <row r="44" spans="1:26">
      <c r="K44" s="33" t="str">
        <f>'CAPEX &amp; Opex produced'!B6</f>
        <v>Dallas</v>
      </c>
      <c r="L44" s="29">
        <f>'CAPEX &amp; Opex produced'!C6</f>
        <v>8.6</v>
      </c>
      <c r="M44" s="29">
        <f>'CAPEX &amp; Opex produced'!D6</f>
        <v>10.3</v>
      </c>
      <c r="N44" s="29">
        <f>'CAPEX &amp; Opex produced'!E6</f>
        <v>14.6</v>
      </c>
      <c r="O44" s="29">
        <f>'CAPEX &amp; Opex produced'!F6</f>
        <v>18.7</v>
      </c>
      <c r="P44" s="29">
        <f>'CAPEX &amp; Opex produced'!G6</f>
        <v>23.3</v>
      </c>
      <c r="Q44" s="29">
        <f>'CAPEX &amp; Opex produced'!H6</f>
        <v>27.8</v>
      </c>
      <c r="R44" s="29">
        <f>'CAPEX &amp; Opex produced'!I6</f>
        <v>30.3</v>
      </c>
      <c r="S44" s="29">
        <f>'CAPEX &amp; Opex produced'!J6</f>
        <v>30.3</v>
      </c>
      <c r="T44" s="29">
        <f>'CAPEX &amp; Opex produced'!K6</f>
        <v>26.9</v>
      </c>
      <c r="U44" s="29">
        <f>'CAPEX &amp; Opex produced'!L6</f>
        <v>20.9</v>
      </c>
      <c r="V44" s="29">
        <f>'CAPEX &amp; Opex produced'!M6</f>
        <v>14.7</v>
      </c>
      <c r="W44" s="29">
        <f>'CAPEX &amp; Opex produced'!N6</f>
        <v>9</v>
      </c>
    </row>
    <row r="45" spans="1:26">
      <c r="K45" t="s">
        <v>158</v>
      </c>
      <c r="L45" s="34">
        <f>'CAPEX &amp; Opex produced'!C7</f>
        <v>2.6756756756756759</v>
      </c>
      <c r="M45" s="34">
        <f>'CAPEX &amp; Opex produced'!D7</f>
        <v>2.7327478042659976</v>
      </c>
      <c r="N45" s="34">
        <f>'CAPEX &amp; Opex produced'!E7</f>
        <v>2.8885941644562338</v>
      </c>
      <c r="O45" s="34">
        <f>'CAPEX &amp; Opex produced'!F7</f>
        <v>3.0546984572230005</v>
      </c>
      <c r="P45" s="34">
        <f>'CAPEX &amp; Opex produced'!G7</f>
        <v>3.2653673163418291</v>
      </c>
      <c r="Q45" s="34">
        <f>'CAPEX &amp; Opex produced'!H7</f>
        <v>3.5016077170418014</v>
      </c>
      <c r="R45" s="34">
        <f>'CAPEX &amp; Opex produced'!I7</f>
        <v>3.6482412060301508</v>
      </c>
      <c r="S45" s="34">
        <f>'CAPEX &amp; Opex produced'!J7</f>
        <v>3.6482412060301508</v>
      </c>
      <c r="T45" s="34">
        <f>'CAPEX &amp; Opex produced'!K7</f>
        <v>3.4516640253565751</v>
      </c>
      <c r="U45" s="34">
        <f>'CAPEX &amp; Opex produced'!L7</f>
        <v>3.1519536903039063</v>
      </c>
      <c r="V45" s="34">
        <f>'CAPEX &amp; Opex produced'!M7</f>
        <v>2.8924302788844618</v>
      </c>
      <c r="W45" s="34">
        <f>'CAPEX &amp; Opex produced'!N7</f>
        <v>2.6888888888888891</v>
      </c>
      <c r="X45" t="s">
        <v>170</v>
      </c>
    </row>
    <row r="46" spans="1:26">
      <c r="K46" t="s">
        <v>161</v>
      </c>
      <c r="L46" s="15">
        <f>'CAPEX &amp; Opex produced'!$M$19</f>
        <v>4.4000000000000004</v>
      </c>
      <c r="M46" s="15">
        <f>'CAPEX &amp; Opex produced'!$M$19</f>
        <v>4.4000000000000004</v>
      </c>
      <c r="N46" s="15">
        <f>'CAPEX &amp; Opex produced'!$M$19</f>
        <v>4.4000000000000004</v>
      </c>
      <c r="O46" s="15">
        <f>'CAPEX &amp; Opex produced'!$M$19</f>
        <v>4.4000000000000004</v>
      </c>
      <c r="P46" s="15">
        <f>'CAPEX &amp; Opex produced'!$M$19</f>
        <v>4.4000000000000004</v>
      </c>
      <c r="Q46" s="15">
        <f>'CAPEX &amp; Opex produced'!$M$19</f>
        <v>4.4000000000000004</v>
      </c>
      <c r="R46" s="15">
        <f>'CAPEX &amp; Opex produced'!$M$19</f>
        <v>4.4000000000000004</v>
      </c>
      <c r="S46" s="15">
        <f>'CAPEX &amp; Opex produced'!$M$19</f>
        <v>4.4000000000000004</v>
      </c>
      <c r="T46" s="15">
        <f>'CAPEX &amp; Opex produced'!$M$19</f>
        <v>4.4000000000000004</v>
      </c>
      <c r="U46" s="15">
        <f>'CAPEX &amp; Opex produced'!$M$19</f>
        <v>4.4000000000000004</v>
      </c>
      <c r="V46" s="15">
        <f>'CAPEX &amp; Opex produced'!$M$19</f>
        <v>4.4000000000000004</v>
      </c>
      <c r="W46" s="15">
        <f>'CAPEX &amp; Opex produced'!$M$19</f>
        <v>4.4000000000000004</v>
      </c>
      <c r="X46" t="s">
        <v>162</v>
      </c>
    </row>
    <row r="47" spans="1:26">
      <c r="K47" t="s">
        <v>165</v>
      </c>
      <c r="L47" s="15">
        <f>($B$3/L45)*31*24</f>
        <v>405.92789205927892</v>
      </c>
      <c r="M47" s="15">
        <f>($B$3/M45)*28*24</f>
        <v>358.98735195350991</v>
      </c>
      <c r="N47" s="15">
        <f t="shared" ref="N47:N48" si="4">($B$3/N45)*31*24</f>
        <v>376.00691721461453</v>
      </c>
      <c r="O47" s="15">
        <f>($B$3/O45)*30*24</f>
        <v>344.0912107136395</v>
      </c>
      <c r="P47" s="15">
        <f t="shared" ref="P47:P48" si="5">($B$3/P45)*31*24</f>
        <v>332.62150368985141</v>
      </c>
      <c r="Q47" s="15">
        <f t="shared" ref="Q47:T48" si="6">($B$3/Q45)*30*24</f>
        <v>300.17494118356751</v>
      </c>
      <c r="R47" s="15">
        <f t="shared" si="6"/>
        <v>288.11003197200944</v>
      </c>
      <c r="S47" s="15">
        <f t="shared" si="6"/>
        <v>288.11003197200944</v>
      </c>
      <c r="T47" s="15">
        <f t="shared" si="6"/>
        <v>304.51830849972868</v>
      </c>
      <c r="U47" s="15">
        <f t="shared" ref="U47:U48" si="7">($B$3/U45)*31*24</f>
        <v>344.58989362771723</v>
      </c>
      <c r="V47" s="15">
        <f>($B$3/V45)*30*24</f>
        <v>363.39506545213254</v>
      </c>
      <c r="W47" s="15">
        <f t="shared" ref="W47:W48" si="8">($B$3/W45)*31*24</f>
        <v>403.93316040296793</v>
      </c>
      <c r="X47">
        <f>SUM(L47:W47)</f>
        <v>4110.4663087410272</v>
      </c>
    </row>
    <row r="48" spans="1:26">
      <c r="K48" t="s">
        <v>171</v>
      </c>
      <c r="L48" s="15">
        <f>($B$3/L46)*31*24</f>
        <v>246.84804246848037</v>
      </c>
      <c r="M48" s="15">
        <f>($B$3/M46)*28*24</f>
        <v>222.95952222959519</v>
      </c>
      <c r="N48" s="15">
        <f t="shared" si="4"/>
        <v>246.84804246848037</v>
      </c>
      <c r="O48" s="15">
        <f>($B$3/O46)*30*24</f>
        <v>238.88520238885201</v>
      </c>
      <c r="P48" s="15">
        <f t="shared" si="5"/>
        <v>246.84804246848037</v>
      </c>
      <c r="Q48" s="15">
        <f t="shared" si="6"/>
        <v>238.88520238885201</v>
      </c>
      <c r="R48" s="15">
        <f t="shared" si="6"/>
        <v>238.88520238885201</v>
      </c>
      <c r="S48" s="15">
        <f t="shared" si="6"/>
        <v>238.88520238885201</v>
      </c>
      <c r="T48" s="15">
        <f t="shared" si="6"/>
        <v>238.88520238885201</v>
      </c>
      <c r="U48" s="15">
        <f t="shared" si="7"/>
        <v>246.84804246848037</v>
      </c>
      <c r="V48" s="15">
        <f>($B$3/V46)*30*24</f>
        <v>238.88520238885201</v>
      </c>
      <c r="W48" s="15">
        <f t="shared" si="8"/>
        <v>246.84804246848037</v>
      </c>
      <c r="X48" s="15">
        <f>SUM(L48:W48)</f>
        <v>2890.5109489051097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131A1-EFEB-4F93-BD4A-6C91D3680623}">
  <dimension ref="B2:N47"/>
  <sheetViews>
    <sheetView topLeftCell="A31" zoomScale="75" zoomScaleNormal="75" workbookViewId="0">
      <selection activeCell="A12" sqref="A12:XFD16"/>
    </sheetView>
  </sheetViews>
  <sheetFormatPr defaultRowHeight="14.45"/>
  <cols>
    <col min="1" max="1" width="25" customWidth="1"/>
    <col min="2" max="2" width="13.85546875" customWidth="1"/>
    <col min="9" max="9" width="13.85546875" customWidth="1"/>
    <col min="10" max="10" width="14.140625" customWidth="1"/>
    <col min="12" max="12" width="11.140625" customWidth="1"/>
    <col min="14" max="14" width="17.5703125" customWidth="1"/>
  </cols>
  <sheetData>
    <row r="2" spans="2:14">
      <c r="B2" s="43" t="s">
        <v>172</v>
      </c>
      <c r="C2" s="43"/>
      <c r="D2" s="43"/>
      <c r="E2" s="43"/>
      <c r="F2" s="43"/>
      <c r="G2" s="43"/>
      <c r="H2" s="43"/>
    </row>
    <row r="4" spans="2:14">
      <c r="B4" s="40" t="s">
        <v>143</v>
      </c>
      <c r="C4" s="40" t="s">
        <v>173</v>
      </c>
      <c r="D4" s="40" t="s">
        <v>174</v>
      </c>
      <c r="E4" s="40" t="s">
        <v>175</v>
      </c>
      <c r="F4" s="40" t="s">
        <v>147</v>
      </c>
      <c r="G4" s="40" t="s">
        <v>176</v>
      </c>
      <c r="H4" s="40" t="s">
        <v>177</v>
      </c>
      <c r="I4" s="40" t="s">
        <v>178</v>
      </c>
      <c r="J4" s="40" t="s">
        <v>151</v>
      </c>
      <c r="K4" s="40" t="s">
        <v>179</v>
      </c>
      <c r="L4" s="40" t="s">
        <v>153</v>
      </c>
      <c r="M4" s="40" t="s">
        <v>154</v>
      </c>
      <c r="N4" s="40" t="s">
        <v>155</v>
      </c>
    </row>
    <row r="5" spans="2:14">
      <c r="B5" s="10"/>
      <c r="C5" s="10"/>
      <c r="D5" s="10"/>
      <c r="E5" s="10"/>
      <c r="F5" s="10"/>
      <c r="G5" s="10"/>
      <c r="H5" s="10"/>
      <c r="I5" s="10"/>
      <c r="J5" s="10"/>
      <c r="K5" s="10"/>
      <c r="L5" s="10"/>
      <c r="M5" s="10"/>
      <c r="N5" s="10"/>
    </row>
    <row r="6" spans="2:14">
      <c r="B6" s="44" t="s">
        <v>180</v>
      </c>
      <c r="C6" s="10">
        <v>8.6</v>
      </c>
      <c r="D6" s="10">
        <v>10.3</v>
      </c>
      <c r="E6" s="10">
        <v>14.6</v>
      </c>
      <c r="F6" s="10">
        <v>18.7</v>
      </c>
      <c r="G6" s="10">
        <v>23.3</v>
      </c>
      <c r="H6" s="10">
        <v>27.8</v>
      </c>
      <c r="I6" s="10">
        <v>30.3</v>
      </c>
      <c r="J6" s="10">
        <v>30.3</v>
      </c>
      <c r="K6" s="10">
        <v>26.9</v>
      </c>
      <c r="L6" s="10">
        <v>20.9</v>
      </c>
      <c r="M6" s="10">
        <v>14.7</v>
      </c>
      <c r="N6" s="10">
        <v>9</v>
      </c>
    </row>
    <row r="7" spans="2:14">
      <c r="B7" s="10" t="s">
        <v>181</v>
      </c>
      <c r="C7" s="45">
        <f>((363)/(363-(273+C6))/$B$18)*$M$18</f>
        <v>2.6756756756756759</v>
      </c>
      <c r="D7" s="45">
        <f>((363)/(363-(273+D6))/$B$18)*$M$18</f>
        <v>2.7327478042659976</v>
      </c>
      <c r="E7" s="45">
        <f>((363)/(363-(273+E6))/$B$18)*$M$18</f>
        <v>2.8885941644562338</v>
      </c>
      <c r="F7" s="45">
        <f>((363)/(363-(273+F6))/$B$18)*$M$18</f>
        <v>3.0546984572230005</v>
      </c>
      <c r="G7" s="45">
        <f>((363)/(363-(273+G6))/$B$18)*$M$18</f>
        <v>3.2653673163418291</v>
      </c>
      <c r="H7" s="45">
        <f>((363)/(363-(273+H6))/$B$18)*$M$18</f>
        <v>3.5016077170418014</v>
      </c>
      <c r="I7" s="45">
        <f>((363)/(363-(273+I6))/$B$18)*$M$18</f>
        <v>3.6482412060301508</v>
      </c>
      <c r="J7" s="45">
        <f>((363)/(363-(273+J6))/$B$18)*$M$18</f>
        <v>3.6482412060301508</v>
      </c>
      <c r="K7" s="45">
        <f>((363)/(363-(273+K6))/$B$18)*$M$18</f>
        <v>3.4516640253565751</v>
      </c>
      <c r="L7" s="45">
        <f>((363)/(363-(273+L6))/$B$18)*$M$18</f>
        <v>3.1519536903039063</v>
      </c>
      <c r="M7" s="45">
        <f>((363)/(363-(273+M6))/$B$18)*$M$18</f>
        <v>2.8924302788844618</v>
      </c>
      <c r="N7" s="45">
        <f>((363)/(363-(273+N6))/$B$18)*$M$18</f>
        <v>2.6888888888888891</v>
      </c>
    </row>
    <row r="8" spans="2:14">
      <c r="B8" s="44" t="s">
        <v>182</v>
      </c>
      <c r="C8" s="10">
        <v>11.7</v>
      </c>
      <c r="D8" s="10">
        <v>13.1</v>
      </c>
      <c r="E8" s="10">
        <v>17.2</v>
      </c>
      <c r="F8" s="10">
        <v>21.3</v>
      </c>
      <c r="G8" s="10">
        <v>25.5</v>
      </c>
      <c r="H8" s="10">
        <v>28.8</v>
      </c>
      <c r="I8" s="10">
        <v>30.5</v>
      </c>
      <c r="J8" s="10">
        <v>30.7</v>
      </c>
      <c r="K8" s="10">
        <v>28</v>
      </c>
      <c r="L8" s="10">
        <v>23.1</v>
      </c>
      <c r="M8" s="10">
        <v>17.3</v>
      </c>
      <c r="N8" s="10">
        <v>12.6</v>
      </c>
    </row>
    <row r="9" spans="2:14">
      <c r="B9" s="10" t="s">
        <v>183</v>
      </c>
      <c r="C9" s="45">
        <f>((363)/(363-(273+C8))/$B$18)*$M$18</f>
        <v>2.7816091954022983</v>
      </c>
      <c r="D9" s="45">
        <f>((363)/(363-(273+D8))/$B$18)*$M$18</f>
        <v>2.8322496749024713</v>
      </c>
      <c r="E9" s="45">
        <f>((363)/(363-(273+E8))/$B$18)*$M$18</f>
        <v>2.9917582417582413</v>
      </c>
      <c r="F9" s="45">
        <f>((363)/(363-(273+F8))/$B$18)*$M$18</f>
        <v>3.1703056768558953</v>
      </c>
      <c r="G9" s="45">
        <f>((363)/(363-(273+G8))/$B$18)*$M$18</f>
        <v>3.3767441860465115</v>
      </c>
      <c r="H9" s="45">
        <f>((363)/(363-(273+H8))/$B$18)*$M$18</f>
        <v>3.5588235294117649</v>
      </c>
      <c r="I9" s="45">
        <f>((363)/(363-(273+I8))/$B$18)*$M$18</f>
        <v>3.6605042016806717</v>
      </c>
      <c r="J9" s="45">
        <f>((363)/(363-(273+J8))/$B$18)*$M$18</f>
        <v>3.672849915682967</v>
      </c>
      <c r="K9" s="45">
        <f>((363)/(363-(273+K8))/$B$18)*$M$18</f>
        <v>3.5129032258064514</v>
      </c>
      <c r="L9" s="45">
        <f>((363)/(363-(273+L8))/$B$18)*$M$18</f>
        <v>3.2556053811659202</v>
      </c>
      <c r="M9" s="45">
        <f>((363)/(363-(273+M8))/$B$18)*$M$18</f>
        <v>2.9958734525447044</v>
      </c>
      <c r="N9" s="45">
        <f>((363)/(363-(273+N8))/$B$18)*$M$18</f>
        <v>2.8139534883720936</v>
      </c>
    </row>
    <row r="10" spans="2:14">
      <c r="B10" s="44" t="s">
        <v>184</v>
      </c>
      <c r="C10" s="10">
        <v>-1</v>
      </c>
      <c r="D10" s="10">
        <v>1.1000000000000001</v>
      </c>
      <c r="E10" s="10">
        <v>5.3</v>
      </c>
      <c r="F10" s="10">
        <v>9.9</v>
      </c>
      <c r="G10" s="10">
        <v>14.1</v>
      </c>
      <c r="H10" s="10">
        <v>20.100000000000001</v>
      </c>
      <c r="I10" s="10">
        <v>23.4</v>
      </c>
      <c r="J10" s="10">
        <v>22.6</v>
      </c>
      <c r="K10" s="10">
        <v>17.8</v>
      </c>
      <c r="L10" s="10">
        <v>11.8</v>
      </c>
      <c r="M10" s="10">
        <v>4.4000000000000004</v>
      </c>
      <c r="N10" s="10">
        <v>-0.8</v>
      </c>
    </row>
    <row r="11" spans="2:14">
      <c r="B11" s="10" t="s">
        <v>183</v>
      </c>
      <c r="C11" s="45">
        <f>((363)/(363-(273+C10))/$B$18)*$M$18</f>
        <v>2.3934065934065933</v>
      </c>
      <c r="D11" s="45">
        <f>((363)/(363-(273+D10))/$B$18)*$M$18</f>
        <v>2.4499437570303715</v>
      </c>
      <c r="E11" s="45">
        <f>((363)/(363-(273+E10))/$B$18)*$M$18</f>
        <v>2.5714285714285716</v>
      </c>
      <c r="F11" s="45">
        <f>((363)/(363-(273+F10))/$B$18)*$M$18</f>
        <v>2.7191011235955047</v>
      </c>
      <c r="G11" s="45">
        <f>((363)/(363-(273+G10))/$B$18)*$M$18</f>
        <v>2.8695652173913051</v>
      </c>
      <c r="H11" s="45">
        <f>((363)/(363-(273+H10))/$B$18)*$M$18</f>
        <v>3.115879828326181</v>
      </c>
      <c r="I11" s="45">
        <f>((363)/(363-(273+I10))/$B$18)*$M$18</f>
        <v>3.2702702702702688</v>
      </c>
      <c r="J11" s="45">
        <f>((363)/(363-(273+J10))/$B$18)*$M$18</f>
        <v>3.2314540059347192</v>
      </c>
      <c r="K11" s="45">
        <f>((363)/(363-(273+K10))/$B$18)*$M$18</f>
        <v>3.0166204986149587</v>
      </c>
      <c r="L11" s="45">
        <f>((363)/(363-(273+L10))/$B$18)*$M$18</f>
        <v>2.7851662404092075</v>
      </c>
      <c r="M11" s="45">
        <f>((363)/(363-(273+M10))/$B$18)*$M$18</f>
        <v>2.5443925233644848</v>
      </c>
      <c r="N11" s="45">
        <f>((363)/(363-(273+N10))/$B$18)*$M$18</f>
        <v>2.3986784140969162</v>
      </c>
    </row>
    <row r="13" spans="2:14">
      <c r="B13" s="14" t="s">
        <v>185</v>
      </c>
    </row>
    <row r="15" spans="2:14">
      <c r="B15" s="14" t="s">
        <v>186</v>
      </c>
    </row>
    <row r="16" spans="2:14">
      <c r="B16" t="s">
        <v>187</v>
      </c>
    </row>
    <row r="17" spans="2:14">
      <c r="B17" s="14" t="s">
        <v>188</v>
      </c>
    </row>
    <row r="18" spans="2:14">
      <c r="B18" s="14">
        <f>(273+ 90)/((273+90)- (273+24))</f>
        <v>5.5</v>
      </c>
      <c r="F18" t="s">
        <v>189</v>
      </c>
      <c r="J18" t="s">
        <v>190</v>
      </c>
      <c r="L18" s="14" t="s">
        <v>191</v>
      </c>
      <c r="M18" s="21">
        <f>Assumptions!B6</f>
        <v>3.3</v>
      </c>
    </row>
    <row r="19" spans="2:14">
      <c r="B19" s="14" t="s">
        <v>192</v>
      </c>
      <c r="L19" s="14" t="s">
        <v>193</v>
      </c>
      <c r="M19" s="36">
        <v>4.4000000000000004</v>
      </c>
    </row>
    <row r="20" spans="2:14">
      <c r="B20" s="35">
        <f>(273+ 90)/((273+90)- (273+39))</f>
        <v>7.117647058823529</v>
      </c>
      <c r="F20" t="s">
        <v>194</v>
      </c>
      <c r="J20" t="s">
        <v>195</v>
      </c>
    </row>
    <row r="22" spans="2:14">
      <c r="B22" s="14" t="s">
        <v>196</v>
      </c>
    </row>
    <row r="23" spans="2:14">
      <c r="B23" t="s">
        <v>197</v>
      </c>
      <c r="F23" t="s">
        <v>198</v>
      </c>
    </row>
    <row r="24" spans="2:14">
      <c r="B24" t="s">
        <v>199</v>
      </c>
    </row>
    <row r="25" spans="2:14">
      <c r="B25" t="s">
        <v>200</v>
      </c>
    </row>
    <row r="28" spans="2:14">
      <c r="B28" s="40" t="s">
        <v>143</v>
      </c>
      <c r="C28" s="40" t="s">
        <v>173</v>
      </c>
      <c r="D28" s="40" t="s">
        <v>174</v>
      </c>
      <c r="E28" s="40" t="s">
        <v>175</v>
      </c>
      <c r="F28" s="40" t="s">
        <v>147</v>
      </c>
      <c r="G28" s="40" t="s">
        <v>176</v>
      </c>
      <c r="H28" s="40" t="s">
        <v>177</v>
      </c>
      <c r="I28" s="40" t="s">
        <v>178</v>
      </c>
      <c r="J28" s="40" t="s">
        <v>151</v>
      </c>
      <c r="K28" s="40" t="s">
        <v>179</v>
      </c>
      <c r="L28" s="40" t="s">
        <v>153</v>
      </c>
      <c r="M28" s="40" t="s">
        <v>154</v>
      </c>
      <c r="N28" s="40" t="s">
        <v>155</v>
      </c>
    </row>
    <row r="29" spans="2:14">
      <c r="B29" s="10"/>
      <c r="C29" s="10"/>
      <c r="D29" s="10"/>
      <c r="E29" s="10"/>
      <c r="F29" s="10"/>
      <c r="G29" s="10"/>
      <c r="H29" s="10"/>
      <c r="I29" s="10"/>
      <c r="J29" s="10"/>
      <c r="K29" s="10"/>
      <c r="L29" s="10"/>
      <c r="M29" s="10"/>
      <c r="N29" s="10"/>
    </row>
    <row r="30" spans="2:14">
      <c r="B30" s="44" t="s">
        <v>201</v>
      </c>
      <c r="C30" s="46">
        <v>21.5</v>
      </c>
      <c r="D30" s="46">
        <v>22.3</v>
      </c>
      <c r="E30" s="46">
        <v>25.3</v>
      </c>
      <c r="F30" s="46">
        <v>29.6</v>
      </c>
      <c r="G30" s="46">
        <v>33.700000000000003</v>
      </c>
      <c r="H30" s="46">
        <v>35.799999999999997</v>
      </c>
      <c r="I30" s="46">
        <v>37.4</v>
      </c>
      <c r="J30" s="46">
        <v>37.299999999999997</v>
      </c>
      <c r="K30" s="46">
        <v>35.5</v>
      </c>
      <c r="L30" s="46">
        <v>31.9</v>
      </c>
      <c r="M30" s="46">
        <v>27.4</v>
      </c>
      <c r="N30" s="46">
        <v>23.4</v>
      </c>
    </row>
    <row r="31" spans="2:14">
      <c r="B31" s="10" t="s">
        <v>181</v>
      </c>
      <c r="C31" s="47">
        <f>((363)/(363-(273+C30))/$B$41)*$M$41</f>
        <v>3.1795620437956202</v>
      </c>
      <c r="D31" s="47">
        <f t="shared" ref="D31:N31" si="0">((363)/(363-(273+D30))/$B$41)*$M$41</f>
        <v>3.2171344165435749</v>
      </c>
      <c r="E31" s="47">
        <f t="shared" si="0"/>
        <v>3.3663060278207113</v>
      </c>
      <c r="F31" s="47">
        <f t="shared" si="0"/>
        <v>3.6059602649006637</v>
      </c>
      <c r="G31" s="47">
        <f t="shared" si="0"/>
        <v>3.8685612788632322</v>
      </c>
      <c r="H31" s="47">
        <f t="shared" si="0"/>
        <v>4.0184501845018454</v>
      </c>
      <c r="I31" s="47">
        <f t="shared" si="0"/>
        <v>4.1406844106463856</v>
      </c>
      <c r="J31" s="47">
        <f t="shared" si="0"/>
        <v>4.1328273244781792</v>
      </c>
      <c r="K31" s="47">
        <f t="shared" si="0"/>
        <v>3.996330275229357</v>
      </c>
      <c r="L31" s="47">
        <f t="shared" si="0"/>
        <v>3.7487091222030959</v>
      </c>
      <c r="M31" s="47">
        <f t="shared" si="0"/>
        <v>3.4792332268370587</v>
      </c>
      <c r="N31" s="47">
        <f t="shared" si="0"/>
        <v>3.2702702702702688</v>
      </c>
    </row>
    <row r="32" spans="2:14">
      <c r="B32" s="44" t="s">
        <v>202</v>
      </c>
      <c r="C32" s="46">
        <v>14</v>
      </c>
      <c r="D32" s="46">
        <v>16.399999999999999</v>
      </c>
      <c r="E32" s="46">
        <v>20.2</v>
      </c>
      <c r="F32" s="46">
        <v>25.2</v>
      </c>
      <c r="G32" s="46">
        <v>30.2</v>
      </c>
      <c r="H32" s="46">
        <v>33.6</v>
      </c>
      <c r="I32" s="46">
        <v>35.6</v>
      </c>
      <c r="J32" s="46">
        <v>35.299999999999997</v>
      </c>
      <c r="K32" s="46">
        <v>32.4</v>
      </c>
      <c r="L32" s="46">
        <v>27.3</v>
      </c>
      <c r="M32" s="46">
        <v>21.4</v>
      </c>
      <c r="N32" s="46">
        <v>16</v>
      </c>
    </row>
    <row r="33" spans="2:14">
      <c r="B33" s="10" t="s">
        <v>183</v>
      </c>
      <c r="C33" s="47">
        <f>((363)/(363-(273+C32))/$B$41)*$M$41</f>
        <v>2.86578947368421</v>
      </c>
      <c r="D33" s="47">
        <f t="shared" ref="D33" si="1">((363)/(363-(273+D32))/$B$41)*$M$41</f>
        <v>2.9592391304347818</v>
      </c>
      <c r="E33" s="47">
        <f t="shared" ref="E33" si="2">((363)/(363-(273+E32))/$B$41)*$M$41</f>
        <v>3.1203438395415466</v>
      </c>
      <c r="F33" s="47">
        <f t="shared" ref="F33" si="3">((363)/(363-(273+F32))/$B$41)*$M$41</f>
        <v>3.3611111111111103</v>
      </c>
      <c r="G33" s="47">
        <f t="shared" ref="G33" si="4">((363)/(363-(273+G32))/$B$41)*$M$41</f>
        <v>3.6421404682274243</v>
      </c>
      <c r="H33" s="47">
        <f t="shared" ref="H33" si="5">((363)/(363-(273+H32))/$B$41)*$M$41</f>
        <v>3.861702127659576</v>
      </c>
      <c r="I33" s="47">
        <f t="shared" ref="I33" si="6">((363)/(363-(273+I32))/$B$41)*$M$41</f>
        <v>4.0036764705882373</v>
      </c>
      <c r="J33" s="47">
        <f t="shared" ref="J33" si="7">((363)/(363-(273+J32))/$B$41)*$M$41</f>
        <v>3.981718464351006</v>
      </c>
      <c r="K33" s="47">
        <f t="shared" ref="K33" si="8">((363)/(363-(273+K32))/$B$41)*$M$41</f>
        <v>3.7812499999999987</v>
      </c>
      <c r="L33" s="47">
        <f t="shared" ref="L33" si="9">((363)/(363-(273+L32))/$B$41)*$M$41</f>
        <v>3.4736842105263159</v>
      </c>
      <c r="M33" s="47">
        <f t="shared" ref="M33" si="10">((363)/(363-(273+M32))/$B$41)*$M$41</f>
        <v>3.1749271137026227</v>
      </c>
      <c r="N33" s="47">
        <f t="shared" ref="N33" si="11">((363)/(363-(273+N32))/$B$41)*$M$41</f>
        <v>2.9432432432432432</v>
      </c>
    </row>
    <row r="34" spans="2:14">
      <c r="B34" s="44" t="s">
        <v>203</v>
      </c>
      <c r="C34" s="46">
        <v>22.4</v>
      </c>
      <c r="D34" s="46">
        <v>23.7</v>
      </c>
      <c r="E34" s="46">
        <v>26.9</v>
      </c>
      <c r="F34" s="46">
        <v>31.4</v>
      </c>
      <c r="G34" s="46">
        <v>35.6</v>
      </c>
      <c r="H34" s="46">
        <v>36.799999999999997</v>
      </c>
      <c r="I34" s="46">
        <v>36.4</v>
      </c>
      <c r="J34" s="46">
        <v>35.1</v>
      </c>
      <c r="K34" s="46">
        <v>34.1</v>
      </c>
      <c r="L34" s="46">
        <v>31.6</v>
      </c>
      <c r="M34" s="46">
        <v>26.9</v>
      </c>
      <c r="N34" s="46">
        <v>23.4</v>
      </c>
    </row>
    <row r="35" spans="2:14">
      <c r="B35" s="10" t="s">
        <v>183</v>
      </c>
      <c r="C35" s="47">
        <f>((363)/(363-(273+C34))/$B$41)*$M$41</f>
        <v>3.2218934911242592</v>
      </c>
      <c r="D35" s="47">
        <f t="shared" ref="D35" si="12">((363)/(363-(273+D34))/$B$41)*$M$41</f>
        <v>3.2850678733031669</v>
      </c>
      <c r="E35" s="47">
        <f t="shared" ref="E35" si="13">((363)/(363-(273+E34))/$B$41)*$M$41</f>
        <v>3.4516640253565751</v>
      </c>
      <c r="F35" s="47">
        <f t="shared" ref="F35" si="14">((363)/(363-(273+F34))/$B$41)*$M$41</f>
        <v>3.7167235494880533</v>
      </c>
      <c r="G35" s="47">
        <f t="shared" ref="G35" si="15">((363)/(363-(273+G34))/$B$41)*$M$41</f>
        <v>4.0036764705882373</v>
      </c>
      <c r="H35" s="47">
        <f t="shared" ref="H35" si="16">((363)/(363-(273+H34))/$B$41)*$M$41</f>
        <v>4.0939849624060152</v>
      </c>
      <c r="I35" s="47">
        <f t="shared" ref="I35" si="17">((363)/(363-(273+I34))/$B$41)*$M$41</f>
        <v>4.0634328358208931</v>
      </c>
      <c r="J35" s="47">
        <f t="shared" ref="J35" si="18">((363)/(363-(273+J34))/$B$41)*$M$41</f>
        <v>3.9672131147540997</v>
      </c>
      <c r="K35" s="47">
        <f t="shared" ref="K35" si="19">((363)/(363-(273+K34))/$B$41)*$M$41</f>
        <v>3.8962432915921301</v>
      </c>
      <c r="L35" s="47">
        <f t="shared" ref="L35" si="20">((363)/(363-(273+L34))/$B$41)*$M$41</f>
        <v>3.729452054794522</v>
      </c>
      <c r="M35" s="47">
        <f t="shared" ref="M35" si="21">((363)/(363-(273+M34))/$B$41)*$M$41</f>
        <v>3.4516640253565751</v>
      </c>
      <c r="N35" s="47">
        <f t="shared" ref="N35" si="22">((363)/(363-(273+N34))/$B$41)*$M$41</f>
        <v>3.2702702702702688</v>
      </c>
    </row>
    <row r="36" spans="2:14">
      <c r="B36" s="14" t="s">
        <v>185</v>
      </c>
    </row>
    <row r="38" spans="2:14">
      <c r="B38" s="14" t="s">
        <v>186</v>
      </c>
    </row>
    <row r="39" spans="2:14">
      <c r="B39" t="s">
        <v>187</v>
      </c>
    </row>
    <row r="40" spans="2:14">
      <c r="B40" s="14" t="s">
        <v>188</v>
      </c>
    </row>
    <row r="41" spans="2:14">
      <c r="B41" s="14">
        <f>(273+ 90)/((273+90)- (273+24))</f>
        <v>5.5</v>
      </c>
      <c r="F41" t="s">
        <v>189</v>
      </c>
      <c r="J41" t="s">
        <v>190</v>
      </c>
      <c r="L41" s="14" t="s">
        <v>191</v>
      </c>
      <c r="M41" s="21">
        <v>3.3</v>
      </c>
    </row>
    <row r="42" spans="2:14">
      <c r="B42" s="14" t="s">
        <v>192</v>
      </c>
      <c r="L42" s="14" t="s">
        <v>193</v>
      </c>
      <c r="M42" s="36">
        <v>4.4000000000000004</v>
      </c>
    </row>
    <row r="43" spans="2:14">
      <c r="B43" s="35">
        <f>(273+ 90)/((273+90)- (273+39))</f>
        <v>7.117647058823529</v>
      </c>
      <c r="F43" t="s">
        <v>194</v>
      </c>
      <c r="J43" t="s">
        <v>195</v>
      </c>
    </row>
    <row r="44" spans="2:14">
      <c r="F44" t="s">
        <v>204</v>
      </c>
    </row>
    <row r="45" spans="2:14">
      <c r="B45" s="14" t="s">
        <v>196</v>
      </c>
    </row>
    <row r="46" spans="2:14">
      <c r="B46" t="s">
        <v>197</v>
      </c>
      <c r="F46" t="s">
        <v>198</v>
      </c>
    </row>
    <row r="47" spans="2:14">
      <c r="B47" t="s">
        <v>199</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2197B6B6482A643B72B2AEA4AF85BA9" ma:contentTypeVersion="10" ma:contentTypeDescription="Create a new document." ma:contentTypeScope="" ma:versionID="8aec7b3dc37e60dd09ba7e2c84d56f1c">
  <xsd:schema xmlns:xsd="http://www.w3.org/2001/XMLSchema" xmlns:xs="http://www.w3.org/2001/XMLSchema" xmlns:p="http://schemas.microsoft.com/office/2006/metadata/properties" xmlns:ns1="http://schemas.microsoft.com/sharepoint/v3" xmlns:ns2="aea6319c-d19b-4de9-af43-fb6354d6a9b4" targetNamespace="http://schemas.microsoft.com/office/2006/metadata/properties" ma:root="true" ma:fieldsID="277f5b562b3130c2cdb8175ee027b643" ns1:_="" ns2:_="">
    <xsd:import namespace="http://schemas.microsoft.com/sharepoint/v3"/>
    <xsd:import namespace="aea6319c-d19b-4de9-af43-fb6354d6a9b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element ref="ns1:_ip_UnifiedCompliancePolicyProperties" minOccurs="0"/>
                <xsd:element ref="ns1:_ip_UnifiedCompliancePolicyUIAction"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ea6319c-d19b-4de9-af43-fb6354d6a9b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5540DC-AC04-4C7A-BF9D-A2A2C1D61C79}"/>
</file>

<file path=customXml/itemProps2.xml><?xml version="1.0" encoding="utf-8"?>
<ds:datastoreItem xmlns:ds="http://schemas.openxmlformats.org/officeDocument/2006/customXml" ds:itemID="{F2B25758-0435-41E7-BBE4-2E70BEDD6D29}"/>
</file>

<file path=customXml/itemProps3.xml><?xml version="1.0" encoding="utf-8"?>
<ds:datastoreItem xmlns:ds="http://schemas.openxmlformats.org/officeDocument/2006/customXml" ds:itemID="{D94B4321-8D17-4016-9DF3-0533D0B4EAF8}"/>
</file>

<file path=docMetadata/LabelInfo.xml><?xml version="1.0" encoding="utf-8"?>
<clbl:labelList xmlns:clbl="http://schemas.microsoft.com/office/2020/mipLabelMetadata">
  <clbl:label id="{1a19d03a-48bc-4359-8038-5b5f6d5847c3}" enabled="1" method="Standar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Webley</dc:creator>
  <cp:keywords/>
  <dc:description/>
  <cp:lastModifiedBy>Bharath Ramakrishnan</cp:lastModifiedBy>
  <cp:revision/>
  <dcterms:created xsi:type="dcterms:W3CDTF">2025-04-22T12:21:42Z</dcterms:created>
  <dcterms:modified xsi:type="dcterms:W3CDTF">2025-06-24T17:33:16Z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0x010100A2197B6B6482A643B72B2AEA4AF85BA9</vt:lpwstr>
  </property>
</Properties>
</file>