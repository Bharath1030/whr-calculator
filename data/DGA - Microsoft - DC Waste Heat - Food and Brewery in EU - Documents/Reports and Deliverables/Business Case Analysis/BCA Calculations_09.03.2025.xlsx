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pette\Desktop\DIVERSE\DGA\Project 1\"/>
    </mc:Choice>
  </mc:AlternateContent>
  <xr:revisionPtr revIDLastSave="0" documentId="13_ncr:1_{772E80BF-2A82-4F2B-91DF-68CF35D4423F}" xr6:coauthVersionLast="47" xr6:coauthVersionMax="47" xr10:uidLastSave="{00000000-0000-0000-0000-000000000000}"/>
  <bookViews>
    <workbookView xWindow="-103" yWindow="-103" windowWidth="19406" windowHeight="12206" xr2:uid="{5C22DA52-69B4-413E-A57C-8C16D92489D4}"/>
  </bookViews>
  <sheets>
    <sheet name="Introduction" sheetId="3" r:id="rId1"/>
    <sheet name="Offtaker and Piping" sheetId="1" r:id="rId2"/>
    <sheet name="DC Economics" sheetId="4" r:id="rId3"/>
    <sheet name="System Flow Diagram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0" i="4" l="1"/>
  <c r="C165" i="4"/>
  <c r="C155" i="4"/>
  <c r="C150" i="4"/>
  <c r="C145" i="4"/>
  <c r="D62" i="1"/>
  <c r="J33" i="3"/>
  <c r="J34" i="3"/>
  <c r="J35" i="3"/>
  <c r="J36" i="3"/>
  <c r="J37" i="3"/>
  <c r="J32" i="3"/>
  <c r="H176" i="4"/>
  <c r="I176" i="4"/>
  <c r="J176" i="4"/>
  <c r="K176" i="4"/>
  <c r="L176" i="4"/>
  <c r="M176" i="4"/>
  <c r="G176" i="4"/>
  <c r="F176" i="4"/>
  <c r="E176" i="4"/>
  <c r="C179" i="4"/>
  <c r="C180" i="4"/>
  <c r="C164" i="4"/>
  <c r="C159" i="4"/>
  <c r="C154" i="4"/>
  <c r="C149" i="4"/>
  <c r="C144" i="4"/>
  <c r="D55" i="4"/>
  <c r="D46" i="4"/>
  <c r="C48" i="4"/>
  <c r="D175" i="4" s="1"/>
  <c r="E175" i="4" s="1"/>
  <c r="F175" i="4" s="1"/>
  <c r="G175" i="4" s="1"/>
  <c r="H175" i="4" s="1"/>
  <c r="I175" i="4" s="1"/>
  <c r="J175" i="4" s="1"/>
  <c r="K175" i="4" s="1"/>
  <c r="L175" i="4" s="1"/>
  <c r="M175" i="4" s="1"/>
  <c r="C69" i="4"/>
  <c r="C68" i="4" s="1"/>
  <c r="C73" i="4"/>
  <c r="C22" i="4"/>
  <c r="B179" i="4" s="1"/>
  <c r="C19" i="4" a="1"/>
  <c r="C19" i="4" s="1"/>
  <c r="C20" i="4" s="1" a="1"/>
  <c r="C20" i="4" s="1"/>
  <c r="D34" i="1"/>
  <c r="I34" i="1"/>
  <c r="C95" i="4"/>
  <c r="C104" i="4"/>
  <c r="C108" i="4"/>
  <c r="C99" i="4"/>
  <c r="C86" i="4"/>
  <c r="C91" i="4"/>
  <c r="C82" i="4"/>
  <c r="C77" i="4"/>
  <c r="H4" i="1"/>
  <c r="C24" i="1" s="1"/>
  <c r="D22" i="1" s="1"/>
  <c r="I2" i="1"/>
  <c r="I10" i="1"/>
  <c r="I9" i="1"/>
  <c r="H10" i="1"/>
  <c r="H9" i="1"/>
  <c r="H8" i="1"/>
  <c r="H7" i="1"/>
  <c r="D78" i="1" s="1"/>
  <c r="I11" i="1"/>
  <c r="H11" i="1"/>
  <c r="D96" i="1"/>
  <c r="D105" i="1" s="1"/>
  <c r="D51" i="1"/>
  <c r="I52" i="1" a="1"/>
  <c r="I52" i="1" s="1"/>
  <c r="D157" i="1"/>
  <c r="D158" i="1" s="1"/>
  <c r="D153" i="1"/>
  <c r="E153" i="1" s="1"/>
  <c r="F153" i="1" s="1"/>
  <c r="G153" i="1" s="1"/>
  <c r="H153" i="1" s="1"/>
  <c r="I153" i="1" s="1"/>
  <c r="J153" i="1" s="1"/>
  <c r="K153" i="1" s="1"/>
  <c r="L153" i="1" s="1"/>
  <c r="M153" i="1" s="1"/>
  <c r="D151" i="1"/>
  <c r="E151" i="1" s="1"/>
  <c r="F151" i="1" s="1"/>
  <c r="G151" i="1" s="1"/>
  <c r="H151" i="1" s="1"/>
  <c r="I151" i="1" s="1"/>
  <c r="J151" i="1" s="1"/>
  <c r="K151" i="1" s="1"/>
  <c r="L151" i="1" s="1"/>
  <c r="M151" i="1" s="1"/>
  <c r="D122" i="1"/>
  <c r="D123" i="1" s="1"/>
  <c r="D118" i="1"/>
  <c r="E118" i="1" s="1"/>
  <c r="F118" i="1" s="1"/>
  <c r="G118" i="1" s="1"/>
  <c r="H118" i="1" s="1"/>
  <c r="I118" i="1" s="1"/>
  <c r="J118" i="1" s="1"/>
  <c r="K118" i="1" s="1"/>
  <c r="L118" i="1" s="1"/>
  <c r="M118" i="1" s="1"/>
  <c r="D116" i="1"/>
  <c r="E116" i="1" s="1"/>
  <c r="F116" i="1" s="1"/>
  <c r="G116" i="1" s="1"/>
  <c r="H116" i="1" s="1"/>
  <c r="I116" i="1" s="1"/>
  <c r="J116" i="1" s="1"/>
  <c r="K116" i="1" s="1"/>
  <c r="L116" i="1" s="1"/>
  <c r="M116" i="1" s="1"/>
  <c r="I89" i="1"/>
  <c r="D89" i="1"/>
  <c r="I69" i="1"/>
  <c r="I71" i="1" s="1"/>
  <c r="I102" i="1" s="1"/>
  <c r="D69" i="1"/>
  <c r="D71" i="1" s="1"/>
  <c r="I44" i="1"/>
  <c r="I61" i="1" s="1"/>
  <c r="C162" i="1" s="1"/>
  <c r="D44" i="1"/>
  <c r="D61" i="1" s="1"/>
  <c r="C127" i="1" s="1"/>
  <c r="I35" i="1"/>
  <c r="D35" i="1"/>
  <c r="I33" i="1"/>
  <c r="D33" i="1"/>
  <c r="I32" i="1"/>
  <c r="D32" i="1"/>
  <c r="U18" i="1"/>
  <c r="U17" i="1"/>
  <c r="D77" i="1" l="1"/>
  <c r="D119" i="1" s="1"/>
  <c r="D166" i="1"/>
  <c r="E166" i="1" s="1"/>
  <c r="F166" i="1" s="1"/>
  <c r="G166" i="1" s="1"/>
  <c r="H166" i="1" s="1"/>
  <c r="I166" i="1" s="1"/>
  <c r="J166" i="1" s="1"/>
  <c r="K166" i="1" s="1"/>
  <c r="L166" i="1" s="1"/>
  <c r="M166" i="1" s="1"/>
  <c r="C55" i="4"/>
  <c r="C153" i="4"/>
  <c r="C152" i="4" s="1"/>
  <c r="C158" i="4"/>
  <c r="C157" i="4" s="1"/>
  <c r="C163" i="4"/>
  <c r="C162" i="4" s="1"/>
  <c r="C148" i="4"/>
  <c r="C143" i="4"/>
  <c r="C42" i="4"/>
  <c r="C142" i="4"/>
  <c r="C147" i="4"/>
  <c r="D131" i="1"/>
  <c r="E131" i="1" s="1"/>
  <c r="D156" i="1"/>
  <c r="E156" i="1" s="1"/>
  <c r="F156" i="1" s="1"/>
  <c r="G156" i="1" s="1"/>
  <c r="H156" i="1" s="1"/>
  <c r="I156" i="1" s="1"/>
  <c r="J156" i="1" s="1"/>
  <c r="K156" i="1" s="1"/>
  <c r="L156" i="1" s="1"/>
  <c r="M156" i="1" s="1"/>
  <c r="D121" i="1"/>
  <c r="E121" i="1" s="1"/>
  <c r="F121" i="1" s="1"/>
  <c r="G121" i="1" s="1"/>
  <c r="H121" i="1" s="1"/>
  <c r="I121" i="1" s="1"/>
  <c r="J121" i="1" s="1"/>
  <c r="K121" i="1" s="1"/>
  <c r="L121" i="1" s="1"/>
  <c r="M121" i="1" s="1"/>
  <c r="I77" i="1"/>
  <c r="I81" i="1" s="1"/>
  <c r="I103" i="1" s="1"/>
  <c r="H24" i="1"/>
  <c r="H5" i="1"/>
  <c r="D155" i="1"/>
  <c r="E155" i="1" s="1"/>
  <c r="F155" i="1" s="1"/>
  <c r="G155" i="1" s="1"/>
  <c r="H155" i="1" s="1"/>
  <c r="I155" i="1" s="1"/>
  <c r="J155" i="1" s="1"/>
  <c r="K155" i="1" s="1"/>
  <c r="L155" i="1" s="1"/>
  <c r="M155" i="1" s="1"/>
  <c r="D120" i="1"/>
  <c r="E120" i="1" s="1"/>
  <c r="F120" i="1" s="1"/>
  <c r="G120" i="1" s="1"/>
  <c r="H120" i="1" s="1"/>
  <c r="I120" i="1" s="1"/>
  <c r="J120" i="1" s="1"/>
  <c r="K120" i="1" s="1"/>
  <c r="L120" i="1" s="1"/>
  <c r="M120" i="1" s="1"/>
  <c r="D36" i="1"/>
  <c r="I36" i="1"/>
  <c r="I60" i="1" s="1"/>
  <c r="C161" i="1" s="1"/>
  <c r="E122" i="1"/>
  <c r="E123" i="1" s="1"/>
  <c r="D150" i="1"/>
  <c r="E150" i="1" s="1"/>
  <c r="F150" i="1" s="1"/>
  <c r="G150" i="1" s="1"/>
  <c r="H150" i="1" s="1"/>
  <c r="I150" i="1" s="1"/>
  <c r="J150" i="1" s="1"/>
  <c r="K150" i="1" s="1"/>
  <c r="L150" i="1" s="1"/>
  <c r="M150" i="1" s="1"/>
  <c r="C163" i="1"/>
  <c r="I53" i="1"/>
  <c r="I62" i="1" s="1"/>
  <c r="D115" i="1"/>
  <c r="D102" i="1"/>
  <c r="D21" i="1"/>
  <c r="D19" i="1"/>
  <c r="D20" i="1"/>
  <c r="D18" i="1"/>
  <c r="D117" i="1"/>
  <c r="E117" i="1" s="1"/>
  <c r="F117" i="1" s="1"/>
  <c r="G117" i="1" s="1"/>
  <c r="H117" i="1" s="1"/>
  <c r="I117" i="1" s="1"/>
  <c r="J117" i="1" s="1"/>
  <c r="K117" i="1" s="1"/>
  <c r="L117" i="1" s="1"/>
  <c r="M117" i="1" s="1"/>
  <c r="D104" i="1"/>
  <c r="D152" i="1"/>
  <c r="E152" i="1" s="1"/>
  <c r="F152" i="1" s="1"/>
  <c r="G152" i="1" s="1"/>
  <c r="H152" i="1" s="1"/>
  <c r="I152" i="1" s="1"/>
  <c r="J152" i="1" s="1"/>
  <c r="K152" i="1" s="1"/>
  <c r="L152" i="1" s="1"/>
  <c r="M152" i="1" s="1"/>
  <c r="I104" i="1"/>
  <c r="U19" i="1"/>
  <c r="U21" i="1" s="1"/>
  <c r="U24" i="1" s="1"/>
  <c r="U25" i="1" s="1"/>
  <c r="W9" i="1" s="1"/>
  <c r="I96" i="1"/>
  <c r="I105" i="1" s="1"/>
  <c r="E157" i="1"/>
  <c r="E164" i="1" l="1"/>
  <c r="F164" i="1"/>
  <c r="G164" i="1"/>
  <c r="D164" i="1"/>
  <c r="C56" i="4"/>
  <c r="D174" i="4"/>
  <c r="E174" i="4" s="1"/>
  <c r="F174" i="4" s="1"/>
  <c r="G174" i="4" s="1"/>
  <c r="H174" i="4" s="1"/>
  <c r="I174" i="4" s="1"/>
  <c r="J174" i="4" s="1"/>
  <c r="K174" i="4" s="1"/>
  <c r="L174" i="4" s="1"/>
  <c r="M174" i="4" s="1"/>
  <c r="D183" i="4"/>
  <c r="I20" i="1"/>
  <c r="I22" i="1"/>
  <c r="D129" i="1"/>
  <c r="D82" i="1"/>
  <c r="D103" i="1" s="1"/>
  <c r="D106" i="1" s="1"/>
  <c r="I106" i="1"/>
  <c r="D154" i="1"/>
  <c r="E154" i="1" s="1"/>
  <c r="F154" i="1" s="1"/>
  <c r="G154" i="1" s="1"/>
  <c r="H154" i="1" s="1"/>
  <c r="I154" i="1" s="1"/>
  <c r="J154" i="1" s="1"/>
  <c r="K154" i="1" s="1"/>
  <c r="L154" i="1" s="1"/>
  <c r="M154" i="1" s="1"/>
  <c r="I18" i="1"/>
  <c r="I19" i="1"/>
  <c r="I21" i="1"/>
  <c r="E119" i="1"/>
  <c r="F119" i="1" s="1"/>
  <c r="G119" i="1" s="1"/>
  <c r="H119" i="1" s="1"/>
  <c r="I119" i="1" s="1"/>
  <c r="J119" i="1" s="1"/>
  <c r="K119" i="1" s="1"/>
  <c r="L119" i="1" s="1"/>
  <c r="M119" i="1" s="1"/>
  <c r="D114" i="1"/>
  <c r="D60" i="1"/>
  <c r="C126" i="1" s="1"/>
  <c r="U26" i="1"/>
  <c r="W12" i="1" s="1"/>
  <c r="F122" i="1"/>
  <c r="F123" i="1" s="1"/>
  <c r="D25" i="1"/>
  <c r="D59" i="1" s="1"/>
  <c r="C125" i="1" s="1"/>
  <c r="F131" i="1"/>
  <c r="E129" i="1"/>
  <c r="H164" i="1"/>
  <c r="E115" i="1"/>
  <c r="F115" i="1" s="1"/>
  <c r="G115" i="1" s="1"/>
  <c r="H115" i="1" s="1"/>
  <c r="I115" i="1" s="1"/>
  <c r="J115" i="1" s="1"/>
  <c r="K115" i="1" s="1"/>
  <c r="L115" i="1" s="1"/>
  <c r="M115" i="1" s="1"/>
  <c r="F157" i="1"/>
  <c r="E158" i="1"/>
  <c r="D173" i="4" l="1"/>
  <c r="D181" i="4"/>
  <c r="E183" i="4"/>
  <c r="D149" i="1"/>
  <c r="E149" i="1" s="1"/>
  <c r="I25" i="1"/>
  <c r="I59" i="1" s="1"/>
  <c r="C160" i="1" s="1"/>
  <c r="C159" i="1" s="1"/>
  <c r="C165" i="1" s="1"/>
  <c r="G122" i="1"/>
  <c r="H122" i="1" s="1"/>
  <c r="F129" i="1"/>
  <c r="G131" i="1"/>
  <c r="G157" i="1"/>
  <c r="F158" i="1"/>
  <c r="E114" i="1"/>
  <c r="D132" i="1"/>
  <c r="I164" i="1"/>
  <c r="F183" i="4" l="1"/>
  <c r="E181" i="4"/>
  <c r="E173" i="4"/>
  <c r="D184" i="4"/>
  <c r="C164" i="1"/>
  <c r="C167" i="1"/>
  <c r="I63" i="1"/>
  <c r="D167" i="1"/>
  <c r="G123" i="1"/>
  <c r="G129" i="1"/>
  <c r="H131" i="1"/>
  <c r="I122" i="1"/>
  <c r="H123" i="1"/>
  <c r="F114" i="1"/>
  <c r="E132" i="1"/>
  <c r="G158" i="1"/>
  <c r="H157" i="1"/>
  <c r="J164" i="1"/>
  <c r="F149" i="1"/>
  <c r="E167" i="1"/>
  <c r="F173" i="4" l="1"/>
  <c r="E184" i="4"/>
  <c r="G183" i="4"/>
  <c r="F181" i="4"/>
  <c r="C168" i="1"/>
  <c r="D168" i="1" s="1"/>
  <c r="E168" i="1" s="1"/>
  <c r="C174" i="1"/>
  <c r="H129" i="1"/>
  <c r="I131" i="1"/>
  <c r="I157" i="1"/>
  <c r="H158" i="1"/>
  <c r="F132" i="1"/>
  <c r="G114" i="1"/>
  <c r="G149" i="1"/>
  <c r="F167" i="1"/>
  <c r="K164" i="1"/>
  <c r="I123" i="1"/>
  <c r="J122" i="1"/>
  <c r="G173" i="4" l="1"/>
  <c r="F184" i="4"/>
  <c r="H183" i="4"/>
  <c r="G181" i="4"/>
  <c r="F168" i="1"/>
  <c r="J131" i="1"/>
  <c r="I129" i="1"/>
  <c r="J123" i="1"/>
  <c r="K122" i="1"/>
  <c r="L164" i="1"/>
  <c r="M164" i="1"/>
  <c r="G167" i="1"/>
  <c r="H149" i="1"/>
  <c r="G132" i="1"/>
  <c r="H114" i="1"/>
  <c r="I158" i="1"/>
  <c r="J157" i="1"/>
  <c r="I183" i="4" l="1"/>
  <c r="H181" i="4"/>
  <c r="H173" i="4"/>
  <c r="G184" i="4"/>
  <c r="G168" i="1"/>
  <c r="J129" i="1"/>
  <c r="K131" i="1"/>
  <c r="K123" i="1"/>
  <c r="L122" i="1"/>
  <c r="J158" i="1"/>
  <c r="K157" i="1"/>
  <c r="H132" i="1"/>
  <c r="I114" i="1"/>
  <c r="H167" i="1"/>
  <c r="I149" i="1"/>
  <c r="I173" i="4" l="1"/>
  <c r="H184" i="4"/>
  <c r="J183" i="4"/>
  <c r="I181" i="4"/>
  <c r="H168" i="1"/>
  <c r="K129" i="1"/>
  <c r="L131" i="1"/>
  <c r="J149" i="1"/>
  <c r="I167" i="1"/>
  <c r="I132" i="1"/>
  <c r="J114" i="1"/>
  <c r="K158" i="1"/>
  <c r="L157" i="1"/>
  <c r="L123" i="1"/>
  <c r="M122" i="1"/>
  <c r="M123" i="1" s="1"/>
  <c r="K183" i="4" l="1"/>
  <c r="J181" i="4"/>
  <c r="I184" i="4"/>
  <c r="J173" i="4"/>
  <c r="I168" i="1"/>
  <c r="L129" i="1"/>
  <c r="M131" i="1"/>
  <c r="M129" i="1" s="1"/>
  <c r="M157" i="1"/>
  <c r="M158" i="1" s="1"/>
  <c r="L158" i="1"/>
  <c r="J132" i="1"/>
  <c r="K114" i="1"/>
  <c r="J167" i="1"/>
  <c r="K149" i="1"/>
  <c r="J184" i="4" l="1"/>
  <c r="K173" i="4"/>
  <c r="L183" i="4"/>
  <c r="K181" i="4"/>
  <c r="J168" i="1"/>
  <c r="L149" i="1"/>
  <c r="K167" i="1"/>
  <c r="K132" i="1"/>
  <c r="L114" i="1"/>
  <c r="L181" i="4" l="1"/>
  <c r="M183" i="4"/>
  <c r="M181" i="4" s="1"/>
  <c r="K184" i="4"/>
  <c r="L173" i="4"/>
  <c r="K168" i="1"/>
  <c r="L132" i="1"/>
  <c r="M114" i="1"/>
  <c r="M132" i="1" s="1"/>
  <c r="L167" i="1"/>
  <c r="M149" i="1"/>
  <c r="M167" i="1" s="1"/>
  <c r="L184" i="4" l="1"/>
  <c r="M173" i="4"/>
  <c r="M184" i="4" s="1"/>
  <c r="L168" i="1"/>
  <c r="M168" i="1" s="1"/>
  <c r="C175" i="1" s="1"/>
  <c r="D52" i="1" l="1"/>
  <c r="C128" i="1" l="1"/>
  <c r="C124" i="1" s="1"/>
  <c r="C130" i="1" s="1"/>
  <c r="D63" i="1"/>
  <c r="C132" i="1" l="1"/>
  <c r="C133" i="1" s="1"/>
  <c r="D133" i="1" s="1"/>
  <c r="E133" i="1" s="1"/>
  <c r="F133" i="1" s="1"/>
  <c r="G133" i="1" s="1"/>
  <c r="H133" i="1" s="1"/>
  <c r="I133" i="1" s="1"/>
  <c r="J133" i="1" s="1"/>
  <c r="K133" i="1" s="1"/>
  <c r="L133" i="1" s="1"/>
  <c r="M133" i="1" s="1"/>
  <c r="C140" i="1" s="1"/>
  <c r="C129" i="1"/>
  <c r="C139" i="1" l="1"/>
  <c r="C8" i="4"/>
  <c r="C178" i="4" s="1"/>
  <c r="C177" i="4" s="1"/>
  <c r="C182" i="4" l="1"/>
  <c r="C181" i="4" s="1"/>
  <c r="C118" i="4"/>
  <c r="C134" i="4"/>
  <c r="C130" i="4"/>
  <c r="C126" i="4"/>
  <c r="C122" i="4"/>
  <c r="C31" i="4"/>
  <c r="C184" i="4" l="1"/>
  <c r="C185" i="4" s="1"/>
  <c r="D185" i="4" s="1"/>
  <c r="E185" i="4" s="1"/>
  <c r="F185" i="4" s="1"/>
  <c r="G185" i="4" s="1"/>
  <c r="H185" i="4" s="1"/>
  <c r="I185" i="4" s="1"/>
  <c r="J185" i="4" s="1"/>
  <c r="K185" i="4" s="1"/>
  <c r="L185" i="4" s="1"/>
  <c r="M185" i="4" s="1"/>
  <c r="C192" i="4" s="1"/>
  <c r="C117" i="4"/>
  <c r="C116" i="4" s="1"/>
  <c r="C133" i="4"/>
  <c r="C132" i="4" s="1"/>
  <c r="C129" i="4"/>
  <c r="C128" i="4" s="1"/>
  <c r="C125" i="4"/>
  <c r="C124" i="4" s="1"/>
  <c r="C121" i="4"/>
  <c r="C120" i="4" s="1"/>
  <c r="C19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Petter Terenius</author>
  </authors>
  <commentList>
    <comment ref="D155" authorId="0" shapeId="0" xr:uid="{6224FA4C-32F8-4551-B44B-490ED9552883}">
      <text>
        <r>
          <rPr>
            <b/>
            <sz val="9"/>
            <color indexed="81"/>
            <rFont val="Tahoma"/>
            <family val="2"/>
          </rPr>
          <t>Petter Terenius:</t>
        </r>
        <r>
          <rPr>
            <sz val="9"/>
            <color indexed="81"/>
            <rFont val="Tahoma"/>
            <family val="2"/>
          </rPr>
          <t xml:space="preserve">
Note that the CO2 avoidance is the same as from the 30 degree scenario; it's just that the temp lift is at the DC side.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<sst xmlns="http://schemas.openxmlformats.org/spreadsheetml/2006/main" count="579" uniqueCount="347">
  <si>
    <t>Introduction</t>
  </si>
  <si>
    <t>This Excel document shows calculations for heat reuse scenarios.</t>
  </si>
  <si>
    <t>Large offtakers in the F&amp;B sector often operate at approximately 8 MW.</t>
  </si>
  <si>
    <t>Hence, that range is what these figures are adapted to.</t>
  </si>
  <si>
    <t>It should be noted that there is a major scaling factor in heat reuse, for piping, but also for offtaker's configuration and OPEX costs.</t>
  </si>
  <si>
    <t>In other words, should even bigger offtaker needs be identified, then that would decrease costs per MW.</t>
  </si>
  <si>
    <t>Also note that power costs vary substantially, so they need to be checked when estimating true project costs.</t>
  </si>
  <si>
    <t>For the identified use cases, the figures used are found in the table below. Greyed out cells are not used in the calculations.</t>
  </si>
  <si>
    <t>On the next tab, those numbers are used for the calculations, and a dropdown menu (at cell H1) automatically inserts the values from the tables.</t>
  </si>
  <si>
    <t>The third tab shows the estimated gains for the DC heat exchange room.</t>
  </si>
  <si>
    <t>The costs and gains are made up of avoided infrastructure, new needed infrastructure, fuel cost avoidance, and governmental incentives.</t>
  </si>
  <si>
    <t>The client pointed out that in many cases, there is already cooling infrastructure in place, so in those cases, "avoidance" would be zero.</t>
  </si>
  <si>
    <t>Hence, the tab is of relevance both to exisiting and planned DC facilities.</t>
  </si>
  <si>
    <t>The last tab hosts the system flow diagrams of the scenarios.</t>
  </si>
  <si>
    <t>This document accompanies the BCA report written simultaneously. To understand the different offtaker cases, HX room configuration, and schamtics, that report should be studied.</t>
  </si>
  <si>
    <t>Note that manual changes to the populated values in the dropdown list will invalidate future dropdown changes (otherwise a VBA macro would be needed, which may conflict with safety protocol).</t>
  </si>
  <si>
    <t>So, please make a copy of this file to experiment with the figures, or re-insert them manually after changes, from the table below.</t>
  </si>
  <si>
    <t>Also, if you are in possession of more case-relevant figures for energy prices, then use them, as they greatly affect the payback period.</t>
  </si>
  <si>
    <t>Petter Terenius for DGA, August 2025</t>
  </si>
  <si>
    <t>Location</t>
  </si>
  <si>
    <t>F&amp;B Facility Type</t>
  </si>
  <si>
    <t>Distance (m)</t>
  </si>
  <si>
    <t>1 MWh Electricity (€)</t>
  </si>
  <si>
    <t>1 MWh Natural gas (€)</t>
  </si>
  <si>
    <t>Carbon Tax per MWh (€)</t>
  </si>
  <si>
    <t>Carbon Tax/Subsidy Comment</t>
  </si>
  <si>
    <t>Total Carbon Cost</t>
  </si>
  <si>
    <t>CAPEX Subsidies / Green Financing</t>
  </si>
  <si>
    <t>CAPEX Subsidies / Green Financing Comment</t>
  </si>
  <si>
    <t>OPEX subsidy / ton avoided carbon (€)</t>
  </si>
  <si>
    <t>OPEX subsidy… Comment</t>
  </si>
  <si>
    <t>DC Temp (°C)</t>
  </si>
  <si>
    <t>Offtaker Temp (°C)</t>
  </si>
  <si>
    <t>Heat need Total / Heat need DC (MW)</t>
  </si>
  <si>
    <t>Payback period comment</t>
  </si>
  <si>
    <t>European average</t>
  </si>
  <si>
    <t>F&amp;B industry</t>
  </si>
  <si>
    <r>
      <rPr>
        <u/>
        <sz val="11"/>
        <color theme="1"/>
        <rFont val="Calibri"/>
        <family val="2"/>
      </rPr>
      <t>Electricity prices vary widely</t>
    </r>
    <r>
      <rPr>
        <sz val="11"/>
        <color theme="1"/>
        <rFont val="Calibri"/>
        <family val="2"/>
      </rPr>
      <t>: must be investigated by actual case.</t>
    </r>
  </si>
  <si>
    <t>Cheaper per MWh, but carbon taxes and volatility make it less attractive.</t>
  </si>
  <si>
    <t>EU ETS only applies to industries over 20 MW; thus it does not pertain to the use cases.</t>
  </si>
  <si>
    <t>CAPEX subsidies are often generous, especially for replacing fossil systems w/ heat pumps.</t>
  </si>
  <si>
    <t>OPEX support is not formalized. EU ETS does not apply.</t>
  </si>
  <si>
    <t>8.0/5.6</t>
  </si>
  <si>
    <t xml:space="preserve">  </t>
  </si>
  <si>
    <t>Germany (Frankfurt)</t>
  </si>
  <si>
    <t>Meat processing</t>
  </si>
  <si>
    <t>180 according to Eurostat, but a scheme is currently running (for five years only)</t>
  </si>
  <si>
    <t>Prices in this column (excl UK) are from Eurostat, autumn 2024</t>
  </si>
  <si>
    <t>Max 21,000 euros per heat pump.</t>
  </si>
  <si>
    <t>UK/England (Newport)</t>
  </si>
  <si>
    <t>Processed food</t>
  </si>
  <si>
    <t>As opposed to typical 215; classified as energy-intensive industries (EII)</t>
  </si>
  <si>
    <t>Carbon tax applies mainly to electricity generators</t>
  </si>
  <si>
    <t>Limited. There is a £7,500 guaranteed grant per heat pump.</t>
  </si>
  <si>
    <t>Other scheme: Climate Change Agreements (CCA)</t>
  </si>
  <si>
    <t>55 (mix)</t>
  </si>
  <si>
    <t>The Netherlands (Agriport A7)</t>
  </si>
  <si>
    <t>Horticulture</t>
  </si>
  <si>
    <t>As opposed to Eurostat's 117, for large industries</t>
  </si>
  <si>
    <t>ISDE subsidy.</t>
  </si>
  <si>
    <t>Proposed solution does not need heat pumps. The calculation is not supported properly.</t>
  </si>
  <si>
    <t>Spain (Zaragoza)</t>
  </si>
  <si>
    <t>Beer</t>
  </si>
  <si>
    <t>As opposed to Eurostat's 98, for large industries</t>
  </si>
  <si>
    <t>Funded via IDAE. Here: 35% for heat pump and another 15% for installation.</t>
  </si>
  <si>
    <t>More schemes: The Interruptibility program; The Capacity market program</t>
  </si>
  <si>
    <t xml:space="preserve">   </t>
  </si>
  <si>
    <t>Sweden (Staffanstorp)</t>
  </si>
  <si>
    <t>Oat milk production</t>
  </si>
  <si>
    <t>In Sweden’s SE4 bidding zone. Reasonable for a large industry (100 in Eurostat)</t>
  </si>
  <si>
    <t>No fixed amount. Swedish Energy Agency grants, 
EU funding mechanisms</t>
  </si>
  <si>
    <t>Sweden has no gas-powered industries, so the calculation is not supported properly.</t>
  </si>
  <si>
    <t>Natural gas costs are based on many sources, including:</t>
  </si>
  <si>
    <t>https://tradingeconomics.com/commodity/eu-natural-gas</t>
  </si>
  <si>
    <t>https://www.iea.org/reports/gas-market-report-q3-2025/executive-summary</t>
  </si>
  <si>
    <t xml:space="preserve">https://ec.europa.eu/eurostat/statistics-explained/images/d/d6/Statistic_Explained_figures_for_Gas_2024S2_v2.xlsx </t>
  </si>
  <si>
    <t>Click yellow field to view dropdown list</t>
  </si>
  <si>
    <t>Offtaker System and Piping</t>
  </si>
  <si>
    <t>The system on this tab excludes DC costs (infrastructure) and savings (cooling)</t>
  </si>
  <si>
    <t>Distance (m) DC to Offtaker</t>
  </si>
  <si>
    <t>This is NOT used in the calculation; just included for reference</t>
  </si>
  <si>
    <t>Delta-T is 12°C on the DC side.</t>
  </si>
  <si>
    <t>Distance in feet</t>
  </si>
  <si>
    <t>Note that changes to the values below</t>
  </si>
  <si>
    <t>Offtaker power need is 8 MW. Power from DC is 5.6 MW.</t>
  </si>
  <si>
    <t>will invalidate further dropdown changes.</t>
  </si>
  <si>
    <t>Temperature Loss Over Distance</t>
  </si>
  <si>
    <t>Assumes 8760 hour operation.</t>
  </si>
  <si>
    <t>Electricity price per MWh (€)</t>
  </si>
  <si>
    <t>Outgoing water temperature (30°C) from DC</t>
  </si>
  <si>
    <t>Natural gas price per MWh (€)</t>
  </si>
  <si>
    <t>Ambient temperature (typically 6-10 °C)</t>
  </si>
  <si>
    <t>Petter Terenius for DGA, July-August 2025</t>
  </si>
  <si>
    <t>Carbon tax per MWh (€)</t>
  </si>
  <si>
    <t>Heat loss (°C)</t>
  </si>
  <si>
    <t>CAPEX subsidy (%)</t>
  </si>
  <si>
    <t>OPEX subsidy per ton avoided c. (€)</t>
  </si>
  <si>
    <t>Remaining heat (°C)</t>
  </si>
  <si>
    <t>30°C (86°F) scenario</t>
  </si>
  <si>
    <t>65°C (150°F) scenario</t>
  </si>
  <si>
    <t>Water leaves DC at 30°C and returns at 18°C</t>
  </si>
  <si>
    <t>Water leaves DC at 65°C and returns at 53°C</t>
  </si>
  <si>
    <t>PIPING CAPEX</t>
  </si>
  <si>
    <t>Comments</t>
  </si>
  <si>
    <t>Piping Heat Loss Calculator</t>
  </si>
  <si>
    <t>Cost Component</t>
  </si>
  <si>
    <t>Cost/Meter</t>
  </si>
  <si>
    <t>Estimated Cost (€)</t>
  </si>
  <si>
    <t>Water temperature from DC</t>
  </si>
  <si>
    <t>Insulated pipe (forward), 250 mm</t>
  </si>
  <si>
    <t>Insulated HDPE (SDR17) pipe forward; uninsulated same-size HDPE pipe return. Velocity rate: 2.3 m/s.</t>
  </si>
  <si>
    <t>Ambient temperature</t>
  </si>
  <si>
    <t>Likely 6-10 degrees for buried pipe in Europe</t>
  </si>
  <si>
    <t>Uninsulated pipe (return), 250 mm</t>
  </si>
  <si>
    <t>Dimensioning is a factor of heat needs, and affects pipe pricing.</t>
  </si>
  <si>
    <t>Difference water/ambient temp</t>
  </si>
  <si>
    <t>Pipe inner diameter D=0.1308 m</t>
  </si>
  <si>
    <t>Valves, fittings, sensors</t>
  </si>
  <si>
    <t>Valves, fittings, sensors are €4000 per km</t>
  </si>
  <si>
    <t>U value for pipe</t>
  </si>
  <si>
    <t>Insulation value. Varies a lot. U=x W/m²·K</t>
  </si>
  <si>
    <t>https://www.isoplus.group/products/product-portfolio/details/product/isoflex-single-pipe/</t>
  </si>
  <si>
    <t>Installation and trenching</t>
  </si>
  <si>
    <t>Installation</t>
  </si>
  <si>
    <t>Trenching costs are heavily dependent on terrain and on hindering infrastructure.</t>
  </si>
  <si>
    <t>Qloss (W/m)</t>
  </si>
  <si>
    <t>Qloss = U*pi*D*deltaT</t>
  </si>
  <si>
    <t>Project management and design</t>
  </si>
  <si>
    <t>Pumps to keep pressure over distances (€5000/10 km)</t>
  </si>
  <si>
    <t>Pumps to keep pressure over distances (€5000 /10 km)</t>
  </si>
  <si>
    <t xml:space="preserve">  Distance (m)</t>
  </si>
  <si>
    <t>Note that at 65°C, steel pipes may be preferable for endurance. This would increase costs by up to 100%.</t>
  </si>
  <si>
    <t>Heat loss (°C/m)</t>
  </si>
  <si>
    <t>Flow rate = 22 kg/s</t>
  </si>
  <si>
    <t>Total</t>
  </si>
  <si>
    <t>Heat loss for installation (°C)</t>
  </si>
  <si>
    <t>deltaT = (Qloss)/(flow rate*water specific heat capacity)</t>
  </si>
  <si>
    <r>
      <t xml:space="preserve">HEAT PUMP CAPEX </t>
    </r>
    <r>
      <rPr>
        <i/>
        <sz val="20"/>
        <rFont val="Calibri"/>
        <family val="2"/>
      </rPr>
      <t>per unit</t>
    </r>
  </si>
  <si>
    <t>HEAT PUMP CAPEX</t>
  </si>
  <si>
    <t>% of HP Cost</t>
  </si>
  <si>
    <t>8 MW Heat Pump Unit</t>
  </si>
  <si>
    <t>n/a</t>
  </si>
  <si>
    <t>8 MW High-Temp Heat Pump Unit</t>
  </si>
  <si>
    <t>Instead of one 8 MW heat pump, it may be advisable to install 2*4 MW heat pumps.</t>
  </si>
  <si>
    <t>System Integration</t>
  </si>
  <si>
    <t>That would allow for partial load operation and for maintenance without full shutdown.</t>
  </si>
  <si>
    <t>Automation &amp; Controls</t>
  </si>
  <si>
    <t>The associated CAPEX increasee for that scenario is 10-20%.</t>
  </si>
  <si>
    <t>Refrigerants</t>
  </si>
  <si>
    <t>Installation &amp; Commissioning</t>
  </si>
  <si>
    <t>STORAGE TANK CAPEX</t>
  </si>
  <si>
    <t>Notes</t>
  </si>
  <si>
    <t>% of Tank Cost</t>
  </si>
  <si>
    <t>Tank, 100 m3, plus insulation</t>
  </si>
  <si>
    <t xml:space="preserve">Gives 30 mins </t>
  </si>
  <si>
    <t>Needed to level out fluctuations due to differences in returning temperature from offtaker's processes.</t>
  </si>
  <si>
    <t>Controls, sensors, installation</t>
  </si>
  <si>
    <t>buffer at full heat</t>
  </si>
  <si>
    <t>HEAT EXCHANGER CAPEX</t>
  </si>
  <si>
    <t>HEAT EXCHANGERS CAPEX</t>
  </si>
  <si>
    <t>% of HX Cost</t>
  </si>
  <si>
    <t>Heat Exchanger Industrial Process</t>
  </si>
  <si>
    <t>Heat Exchanger Fluctuations</t>
  </si>
  <si>
    <t>TOTAL SYSTEM CAPEX</t>
  </si>
  <si>
    <t>Piping and Trenching</t>
  </si>
  <si>
    <t>2 Heat Pumps</t>
  </si>
  <si>
    <t>Heat Pump</t>
  </si>
  <si>
    <t>Storage Tank</t>
  </si>
  <si>
    <t>4 Heat Exchangers (possibly 1 chiller)</t>
  </si>
  <si>
    <t>2 Heat Exchangers</t>
  </si>
  <si>
    <t>PIPING OPEX</t>
  </si>
  <si>
    <t>Cost / Meter</t>
  </si>
  <si>
    <t>Crude estimate</t>
  </si>
  <si>
    <r>
      <t xml:space="preserve">HEAT PUMP OPEX </t>
    </r>
    <r>
      <rPr>
        <i/>
        <sz val="20"/>
        <rFont val="Calibri"/>
        <family val="2"/>
      </rPr>
      <t>both units</t>
    </r>
  </si>
  <si>
    <t>HEAT PUMP OPEX</t>
  </si>
  <si>
    <t>Electricity HP A</t>
  </si>
  <si>
    <t>1.21 MW added</t>
  </si>
  <si>
    <t>Electricity</t>
  </si>
  <si>
    <t>COP: 7.0</t>
  </si>
  <si>
    <t>Electricity HP B</t>
  </si>
  <si>
    <t>1.49 MW added</t>
  </si>
  <si>
    <t>Maintenance</t>
  </si>
  <si>
    <t>Temp lift: 12°C</t>
  </si>
  <si>
    <t>Unusually low temperature lift for 65 degree scenario.</t>
  </si>
  <si>
    <t>Monitoring &amp; Control</t>
  </si>
  <si>
    <t>1.08 MW added</t>
  </si>
  <si>
    <t>Could be reconfigured in several ways.</t>
  </si>
  <si>
    <t>Insurance &amp; Admin</t>
  </si>
  <si>
    <t>electricity</t>
  </si>
  <si>
    <t>STORAGE TANK OPEX</t>
  </si>
  <si>
    <t>Total OPEX</t>
  </si>
  <si>
    <t>HEAT EXCHANGER OPEX</t>
  </si>
  <si>
    <t>Maintenance for both units</t>
  </si>
  <si>
    <t>TOTAL SYSTEM OPEX</t>
  </si>
  <si>
    <t>Pipe maintenance</t>
  </si>
  <si>
    <t>2 Heat Pumps, electricity and maintenance</t>
  </si>
  <si>
    <t>Heat Pump electricity and maintenance</t>
  </si>
  <si>
    <t>Storage Tank maintenance</t>
  </si>
  <si>
    <t>Heat Exchangers electricity and maintenance</t>
  </si>
  <si>
    <t>Heat Exchanger electricity and maintenance</t>
  </si>
  <si>
    <t>PROJECT CASHFLOW: 30°C scenario</t>
  </si>
  <si>
    <t>Undiscounted and without inflation</t>
  </si>
  <si>
    <t>Current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</si>
  <si>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</si>
  <si>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</si>
  <si>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</si>
  <si>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</si>
  <si>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</si>
  <si>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</si>
  <si>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</si>
  <si>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</si>
  <si>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</si>
  <si>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</si>
  <si>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OPEX</t>
  </si>
  <si>
    <t>Heat Pumps maintenance</t>
  </si>
  <si>
    <t>Heat Exchanger maintenance</t>
  </si>
  <si>
    <t>Electricity for Heat Pumps</t>
  </si>
  <si>
    <t>Cost of carbon displaced (1111 kWh per hour and MW)</t>
  </si>
  <si>
    <t>Avoided carbon tax (MWh CO2/year)</t>
  </si>
  <si>
    <t>Natural Gas displaced, MWh per year</t>
  </si>
  <si>
    <t>Natural Gas displaced, Tons CO2 per year</t>
  </si>
  <si>
    <t>CAPEX</t>
  </si>
  <si>
    <t>Heat Pump(s)</t>
  </si>
  <si>
    <t>Heat Exchangers</t>
  </si>
  <si>
    <t>Subsidy</t>
  </si>
  <si>
    <t>One-off subsidy</t>
  </si>
  <si>
    <t>Carbon subsidy</t>
  </si>
  <si>
    <t>Net Savings</t>
  </si>
  <si>
    <t>Cumulative Impact</t>
  </si>
  <si>
    <t>PAYBACK PERIOD AND OUTLOOK: 30°C scenario</t>
  </si>
  <si>
    <t>Payback period</t>
  </si>
  <si>
    <t>System profit after ten years</t>
  </si>
  <si>
    <t>PROJECT CASHFLOW: 65°C scenario</t>
  </si>
  <si>
    <t>Electricity for Heat Pump</t>
  </si>
  <si>
    <t>Avoided carbon tax (Tons CO2/year)</t>
  </si>
  <si>
    <t>PAYBACK PERIOD AND OUTLOOK: 65°C scenario</t>
  </si>
  <si>
    <t>Data Center Economics</t>
  </si>
  <si>
    <t>HEAT EXCHANGE ROOM CAPEX</t>
  </si>
  <si>
    <t>Description</t>
  </si>
  <si>
    <t>Gain/Cost (€)</t>
  </si>
  <si>
    <t>HEAT REUSE CASE</t>
  </si>
  <si>
    <t>Where there is exisiting infrastructure, this is the CAPEX.</t>
  </si>
  <si>
    <t>Plate heat exchanger</t>
  </si>
  <si>
    <t>Acts as a thermal bridge, transferring heat between loops</t>
  </si>
  <si>
    <t>Primary pumps</t>
  </si>
  <si>
    <t>Circulate water through the datacenter loop</t>
  </si>
  <si>
    <t>Secondary pumps</t>
  </si>
  <si>
    <t>Circulate water to the recipient loop</t>
  </si>
  <si>
    <t>Control valves etc</t>
  </si>
  <si>
    <t>Regulate flow and temperature</t>
  </si>
  <si>
    <t>Temp &amp; flow sensors</t>
  </si>
  <si>
    <t>Monitor inlet/outlet temperatures and flow rates</t>
  </si>
  <si>
    <t>Expansion tank</t>
  </si>
  <si>
    <t>Manages pressure changes in the closed loop</t>
  </si>
  <si>
    <t>Water treatment</t>
  </si>
  <si>
    <t>Prevents corrosion and scaling in the loop</t>
  </si>
  <si>
    <t>Piping</t>
  </si>
  <si>
    <t>Connects components within the room</t>
  </si>
  <si>
    <t>Monitoring system</t>
  </si>
  <si>
    <t>Controls and monitors system performance</t>
  </si>
  <si>
    <t>Safety measures</t>
  </si>
  <si>
    <t>Racks, mounts, drip trays, leak detection, fire safety</t>
  </si>
  <si>
    <t>Redundancy material</t>
  </si>
  <si>
    <t>50% of system cost</t>
  </si>
  <si>
    <t>Installation etc</t>
  </si>
  <si>
    <t>100% of system cost (including redundancy materials)</t>
  </si>
  <si>
    <t>HEAT REJECTION CASE</t>
  </si>
  <si>
    <t>In other words, cost avoidance</t>
  </si>
  <si>
    <t>Where there will be no need to build heat rejection infrastructure, use this.</t>
  </si>
  <si>
    <t>Electric chillers (5.3 MW)</t>
  </si>
  <si>
    <t>High-efficiency chillers</t>
  </si>
  <si>
    <t>Be careful with the minus sign, though!</t>
  </si>
  <si>
    <t>Cooling towers</t>
  </si>
  <si>
    <t>Rejects heat from condenser water loop</t>
  </si>
  <si>
    <t>Chilled water pumps, piping</t>
  </si>
  <si>
    <t>Circulates chilled water between chillers and air handlers</t>
  </si>
  <si>
    <t>Condenser water pumps</t>
  </si>
  <si>
    <t>Circulates water between chillers and cooling towers</t>
  </si>
  <si>
    <t>Control system</t>
  </si>
  <si>
    <t>Monitoring and optimization</t>
  </si>
  <si>
    <t>Backup power system</t>
  </si>
  <si>
    <t>UPS + batteries or diesel gensets for cooling continuity</t>
  </si>
  <si>
    <t>Labor, integration, testing</t>
  </si>
  <si>
    <t>Total CAPEX savings</t>
  </si>
  <si>
    <t>If no cooling infrastructure exists.</t>
  </si>
  <si>
    <t>This calculation shows the difference between cooling and employing heat reuse for 5.6 MW in a data center.</t>
  </si>
  <si>
    <t>It does not factor in costs which would have been present in both cases, such as air coolers in server rooms.</t>
  </si>
  <si>
    <t>HEAT EXCHANGE ROOM OPEX COMPARISON</t>
  </si>
  <si>
    <t>Comment</t>
  </si>
  <si>
    <t>Pumps draw 100 kW.</t>
  </si>
  <si>
    <t>Simpler components, fewer moving parts</t>
  </si>
  <si>
    <t>Chemical treatment</t>
  </si>
  <si>
    <t>Less complex automation in reuse system</t>
  </si>
  <si>
    <t>Total excl power</t>
  </si>
  <si>
    <t>Pumps only in reuse system</t>
  </si>
  <si>
    <t>Power draw by chillers is approximately 2.0 MW.</t>
  </si>
  <si>
    <t>Fans and pumps add another 350 kW.</t>
  </si>
  <si>
    <t>Water usage</t>
  </si>
  <si>
    <t>70,000 m3 per year</t>
  </si>
  <si>
    <t>Power draw diff (MW):</t>
  </si>
  <si>
    <t>Cooling towers require more aggressive treatment</t>
  </si>
  <si>
    <t>Total savings excluding power</t>
  </si>
  <si>
    <t>Total OPEX gain</t>
  </si>
  <si>
    <t>The huge difference in annual operating cost (more than 90% reduction in heat reuse case) mainly stems from power savings.</t>
  </si>
  <si>
    <t>INCENTIVE LIST</t>
  </si>
  <si>
    <t>For a 5.6 MW DC heat reuse scenario (8 MW at offtaker including heat pump)</t>
  </si>
  <si>
    <t>Country</t>
  </si>
  <si>
    <t>Incentive</t>
  </si>
  <si>
    <t>Possible savings (€ M)</t>
  </si>
  <si>
    <t>GERMANY</t>
  </si>
  <si>
    <t>Corporate depreciation acceleration</t>
  </si>
  <si>
    <t>Regional grant programmes (Land-level)</t>
  </si>
  <si>
    <t>New EU funding (?)</t>
  </si>
  <si>
    <t>EU ETS (for a 60 MW+ DC)</t>
  </si>
  <si>
    <t>UNITED KINGDOM</t>
  </si>
  <si>
    <t>100 % Enhanced Capital Allowance</t>
  </si>
  <si>
    <t>Accelerated writing-down on new-build M &amp; E</t>
  </si>
  <si>
    <t>Green Heat Network Fund grant</t>
  </si>
  <si>
    <t>UK ETS (for a 60 MW+ DC)</t>
  </si>
  <si>
    <t>NETHERLANDS</t>
  </si>
  <si>
    <t>Energy Investment Allowance (EIA)</t>
  </si>
  <si>
    <t>SDE ++ subsidy for recovered heat</t>
  </si>
  <si>
    <t>SPAIN</t>
  </si>
  <si>
    <t>Capital-allowance uplift (pending)</t>
  </si>
  <si>
    <t>VAT reduction on heat sales</t>
  </si>
  <si>
    <t>SWEDEN</t>
  </si>
  <si>
    <t>Municipal / EU grant rounds</t>
  </si>
  <si>
    <t>TOTAL CAPEX SAVINGS ON DC SIDE</t>
  </si>
  <si>
    <t>Compared with heat rejection through cooling towers</t>
  </si>
  <si>
    <t>Gain (€)</t>
  </si>
  <si>
    <t>Cooling - Heat exchange room</t>
  </si>
  <si>
    <t>Incentives estimate, 30% of CAPEX</t>
  </si>
  <si>
    <t>THE NETHERLANDS</t>
  </si>
  <si>
    <t>TOTAL OPEX SAVINGS ON DC SIDE</t>
  </si>
  <si>
    <t>Maintenance, treatment, water savings</t>
  </si>
  <si>
    <t>Power cost gain</t>
  </si>
  <si>
    <t>OPEX subsidies</t>
  </si>
  <si>
    <t>EU ETS carbon credits give approximately €80 per MWh.</t>
  </si>
  <si>
    <t>PROJECT CASHFLOW: DATA CENTER</t>
  </si>
  <si>
    <t>Heat reuse case</t>
  </si>
  <si>
    <t>Heat rejection case</t>
  </si>
  <si>
    <t>Savings from not needing on-premise cooling</t>
  </si>
  <si>
    <t>Yearly incentive</t>
  </si>
  <si>
    <t>(Heat rejection case)</t>
  </si>
  <si>
    <t>Annual subsidies</t>
  </si>
  <si>
    <t>PAYBACK PERIOD AND OUTLOOK</t>
  </si>
  <si>
    <t>System Flow Diagrams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</si>
</sst>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\ ##0"/>
    <numFmt numFmtId="165" formatCode="0.000"/>
    <numFmt numFmtId="166" formatCode="[$€-2]\ #,##0;[Red]\-[$€-2]\ #,##0"/>
    <numFmt numFmtId="167" formatCode="0.0000000"/>
    <numFmt numFmtId="168" formatCode="0_ ;[Red]\-0\ "/>
    <numFmt numFmtId="169" formatCode="0.0\ &quot;years&quot;"/>
    <numFmt numFmtId="170" formatCode="0.0%"/>
    <numFmt numFmtId="171" formatCode="[$€-2]\ #,##0.00;[Red]\-[$€-2]\ #,##0.00"/>
    <numFmt numFmtId="172" formatCode="[$€-2]\ #,##0&quot;/yr&quot;;[Red]\-[$€-2]\ #,##0&quot;/yr&quot;"/>
  </numFmts>
  <fonts count="2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6"/>
      <name val="Calibri"/>
      <family val="2"/>
    </font>
    <font>
      <b/>
      <i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70C0"/>
      <name val="Calibri"/>
      <family val="2"/>
    </font>
    <font>
      <i/>
      <sz val="11"/>
      <name val="Calibri"/>
      <family val="2"/>
    </font>
    <font>
      <i/>
      <sz val="18"/>
      <color rgb="FF0070C0"/>
      <name val="Calibri"/>
      <family val="2"/>
    </font>
    <font>
      <sz val="18"/>
      <color rgb="FF0070C0"/>
      <name val="Calibri"/>
      <family val="2"/>
    </font>
    <font>
      <sz val="22"/>
      <name val="Calibri"/>
      <family val="2"/>
    </font>
    <font>
      <sz val="20"/>
      <name val="Calibri"/>
      <family val="2"/>
    </font>
    <font>
      <i/>
      <sz val="20"/>
      <name val="Calibri"/>
      <family val="2"/>
    </font>
    <font>
      <b/>
      <sz val="20"/>
      <name val="Calibri"/>
      <family val="2"/>
    </font>
    <font>
      <u/>
      <sz val="11"/>
      <name val="Aptos Narrow"/>
      <family val="2"/>
      <scheme val="minor"/>
    </font>
    <font>
      <b/>
      <sz val="11"/>
      <color rgb="FF0070C0"/>
      <name val="Calibri"/>
      <family val="2"/>
    </font>
    <font>
      <i/>
      <sz val="11"/>
      <color rgb="FF0070C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0.5"/>
      <name val="Calibri"/>
      <family val="2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i/>
      <sz val="26"/>
      <name val="Calibri"/>
      <family val="2"/>
    </font>
    <font>
      <sz val="18"/>
      <color rgb="FFFF000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i/>
      <u/>
      <sz val="11"/>
      <color theme="10"/>
      <name val="Aptos Narrow"/>
      <family val="2"/>
      <scheme val="minor"/>
    </font>
    <font>
      <u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3" borderId="1" xfId="0" applyFont="1" applyFill="1" applyBorder="1"/>
    <xf numFmtId="0" fontId="4" fillId="3" borderId="2" xfId="0" applyFont="1" applyFill="1" applyBorder="1"/>
    <xf numFmtId="164" fontId="6" fillId="4" borderId="3" xfId="0" applyNumberFormat="1" applyFont="1" applyFill="1" applyBorder="1" applyAlignment="1">
      <alignment vertical="center" wrapText="1"/>
    </xf>
    <xf numFmtId="0" fontId="7" fillId="2" borderId="0" xfId="0" applyFont="1" applyFill="1"/>
    <xf numFmtId="0" fontId="7" fillId="3" borderId="4" xfId="0" applyFont="1" applyFill="1" applyBorder="1"/>
    <xf numFmtId="0" fontId="4" fillId="3" borderId="0" xfId="0" applyFont="1" applyFill="1"/>
    <xf numFmtId="164" fontId="7" fillId="3" borderId="5" xfId="0" applyNumberFormat="1" applyFont="1" applyFill="1" applyBorder="1"/>
    <xf numFmtId="0" fontId="4" fillId="3" borderId="4" xfId="0" applyFont="1" applyFill="1" applyBorder="1"/>
    <xf numFmtId="0" fontId="4" fillId="3" borderId="6" xfId="0" applyFont="1" applyFill="1" applyBorder="1"/>
    <xf numFmtId="0" fontId="7" fillId="3" borderId="2" xfId="0" applyFont="1" applyFill="1" applyBorder="1"/>
    <xf numFmtId="0" fontId="4" fillId="3" borderId="7" xfId="0" applyFont="1" applyFill="1" applyBorder="1"/>
    <xf numFmtId="0" fontId="5" fillId="3" borderId="4" xfId="0" applyFont="1" applyFill="1" applyBorder="1"/>
    <xf numFmtId="0" fontId="7" fillId="3" borderId="0" xfId="0" applyFont="1" applyFill="1"/>
    <xf numFmtId="0" fontId="4" fillId="3" borderId="5" xfId="0" applyFont="1" applyFill="1" applyBorder="1"/>
    <xf numFmtId="0" fontId="5" fillId="3" borderId="8" xfId="0" applyFont="1" applyFill="1" applyBorder="1"/>
    <xf numFmtId="164" fontId="6" fillId="4" borderId="9" xfId="0" applyNumberFormat="1" applyFont="1" applyFill="1" applyBorder="1" applyAlignment="1">
      <alignment vertical="center" wrapText="1"/>
    </xf>
    <xf numFmtId="165" fontId="4" fillId="3" borderId="5" xfId="0" applyNumberFormat="1" applyFont="1" applyFill="1" applyBorder="1"/>
    <xf numFmtId="0" fontId="4" fillId="3" borderId="8" xfId="0" applyFont="1" applyFill="1" applyBorder="1"/>
    <xf numFmtId="0" fontId="7" fillId="3" borderId="10" xfId="0" applyFont="1" applyFill="1" applyBorder="1"/>
    <xf numFmtId="0" fontId="4" fillId="3" borderId="10" xfId="0" applyFont="1" applyFill="1" applyBorder="1"/>
    <xf numFmtId="165" fontId="4" fillId="3" borderId="6" xfId="0" applyNumberFormat="1" applyFont="1" applyFill="1" applyBorder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3" borderId="1" xfId="0" applyFont="1" applyFill="1" applyBorder="1"/>
    <xf numFmtId="0" fontId="11" fillId="3" borderId="2" xfId="0" applyFont="1" applyFill="1" applyBorder="1"/>
    <xf numFmtId="0" fontId="11" fillId="3" borderId="7" xfId="0" applyFont="1" applyFill="1" applyBorder="1"/>
    <xf numFmtId="49" fontId="5" fillId="5" borderId="1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/>
    <xf numFmtId="49" fontId="5" fillId="5" borderId="2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166" fontId="4" fillId="2" borderId="5" xfId="0" applyNumberFormat="1" applyFont="1" applyFill="1" applyBorder="1" applyAlignment="1">
      <alignment vertical="center" wrapText="1"/>
    </xf>
    <xf numFmtId="0" fontId="14" fillId="2" borderId="0" xfId="1" applyFont="1" applyFill="1"/>
    <xf numFmtId="165" fontId="4" fillId="3" borderId="0" xfId="0" applyNumberFormat="1" applyFont="1" applyFill="1"/>
    <xf numFmtId="164" fontId="6" fillId="2" borderId="0" xfId="0" applyNumberFormat="1" applyFont="1" applyFill="1" applyAlignment="1">
      <alignment vertical="center" wrapText="1"/>
    </xf>
    <xf numFmtId="167" fontId="4" fillId="3" borderId="0" xfId="0" applyNumberFormat="1" applyFont="1" applyFill="1"/>
    <xf numFmtId="0" fontId="4" fillId="2" borderId="10" xfId="0" applyFont="1" applyFill="1" applyBorder="1" applyAlignment="1">
      <alignment vertical="center" wrapText="1"/>
    </xf>
    <xf numFmtId="166" fontId="5" fillId="2" borderId="6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166" fontId="5" fillId="2" borderId="0" xfId="0" applyNumberFormat="1" applyFont="1" applyFill="1" applyAlignment="1">
      <alignment vertical="center" wrapText="1"/>
    </xf>
    <xf numFmtId="165" fontId="4" fillId="3" borderId="10" xfId="0" applyNumberFormat="1" applyFont="1" applyFill="1" applyBorder="1"/>
    <xf numFmtId="49" fontId="4" fillId="5" borderId="2" xfId="0" applyNumberFormat="1" applyFont="1" applyFill="1" applyBorder="1" applyAlignment="1">
      <alignment wrapText="1"/>
    </xf>
    <xf numFmtId="49" fontId="4" fillId="2" borderId="0" xfId="0" applyNumberFormat="1" applyFont="1" applyFill="1" applyAlignment="1">
      <alignment wrapText="1"/>
    </xf>
    <xf numFmtId="49" fontId="7" fillId="2" borderId="0" xfId="0" applyNumberFormat="1" applyFont="1" applyFill="1" applyAlignment="1">
      <alignment wrapText="1"/>
    </xf>
    <xf numFmtId="0" fontId="4" fillId="2" borderId="0" xfId="0" applyFont="1" applyFill="1" applyAlignment="1">
      <alignment horizontal="right" vertical="center" wrapText="1"/>
    </xf>
    <xf numFmtId="9" fontId="4" fillId="2" borderId="0" xfId="0" applyNumberFormat="1" applyFont="1" applyFill="1" applyAlignment="1">
      <alignment vertical="center" wrapText="1"/>
    </xf>
    <xf numFmtId="0" fontId="7" fillId="2" borderId="0" xfId="0" applyFont="1" applyFill="1" applyAlignment="1">
      <alignment horizontal="left" vertical="center" wrapText="1"/>
    </xf>
    <xf numFmtId="9" fontId="7" fillId="2" borderId="0" xfId="0" applyNumberFormat="1" applyFont="1" applyFill="1" applyAlignment="1">
      <alignment horizontal="right" vertical="center" wrapText="1"/>
    </xf>
    <xf numFmtId="168" fontId="6" fillId="2" borderId="0" xfId="0" applyNumberFormat="1" applyFont="1" applyFill="1" applyAlignment="1">
      <alignment vertical="center" wrapText="1"/>
    </xf>
    <xf numFmtId="0" fontId="5" fillId="2" borderId="4" xfId="0" applyFont="1" applyFill="1" applyBorder="1"/>
    <xf numFmtId="0" fontId="5" fillId="2" borderId="0" xfId="0" applyFont="1" applyFill="1"/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6" fontId="5" fillId="3" borderId="0" xfId="0" applyNumberFormat="1" applyFont="1" applyFill="1"/>
    <xf numFmtId="166" fontId="5" fillId="3" borderId="5" xfId="0" applyNumberFormat="1" applyFont="1" applyFill="1" applyBorder="1"/>
    <xf numFmtId="0" fontId="7" fillId="2" borderId="4" xfId="0" applyFont="1" applyFill="1" applyBorder="1"/>
    <xf numFmtId="166" fontId="7" fillId="2" borderId="0" xfId="0" applyNumberFormat="1" applyFont="1" applyFill="1"/>
    <xf numFmtId="166" fontId="7" fillId="2" borderId="5" xfId="0" applyNumberFormat="1" applyFont="1" applyFill="1" applyBorder="1"/>
    <xf numFmtId="0" fontId="16" fillId="2" borderId="4" xfId="0" applyFont="1" applyFill="1" applyBorder="1"/>
    <xf numFmtId="0" fontId="6" fillId="2" borderId="0" xfId="0" applyFont="1" applyFill="1"/>
    <xf numFmtId="3" fontId="16" fillId="2" borderId="0" xfId="0" applyNumberFormat="1" applyFont="1" applyFill="1"/>
    <xf numFmtId="3" fontId="16" fillId="2" borderId="5" xfId="0" applyNumberFormat="1" applyFont="1" applyFill="1" applyBorder="1"/>
    <xf numFmtId="166" fontId="4" fillId="2" borderId="0" xfId="0" applyNumberFormat="1" applyFont="1" applyFill="1"/>
    <xf numFmtId="166" fontId="4" fillId="2" borderId="5" xfId="0" applyNumberFormat="1" applyFont="1" applyFill="1" applyBorder="1"/>
    <xf numFmtId="0" fontId="5" fillId="3" borderId="0" xfId="0" applyFont="1" applyFill="1"/>
    <xf numFmtId="166" fontId="4" fillId="3" borderId="0" xfId="0" applyNumberFormat="1" applyFont="1" applyFill="1"/>
    <xf numFmtId="166" fontId="4" fillId="3" borderId="5" xfId="0" applyNumberFormat="1" applyFont="1" applyFill="1" applyBorder="1"/>
    <xf numFmtId="166" fontId="4" fillId="3" borderId="10" xfId="0" applyNumberFormat="1" applyFont="1" applyFill="1" applyBorder="1"/>
    <xf numFmtId="166" fontId="4" fillId="3" borderId="6" xfId="0" applyNumberFormat="1" applyFont="1" applyFill="1" applyBorder="1"/>
    <xf numFmtId="169" fontId="5" fillId="3" borderId="7" xfId="0" applyNumberFormat="1" applyFont="1" applyFill="1" applyBorder="1"/>
    <xf numFmtId="166" fontId="5" fillId="3" borderId="6" xfId="0" applyNumberFormat="1" applyFont="1" applyFill="1" applyBorder="1"/>
    <xf numFmtId="0" fontId="0" fillId="2" borderId="0" xfId="0" applyFill="1"/>
    <xf numFmtId="0" fontId="7" fillId="2" borderId="0" xfId="0" applyFont="1" applyFill="1" applyAlignment="1">
      <alignment horizontal="right"/>
    </xf>
    <xf numFmtId="0" fontId="19" fillId="2" borderId="0" xfId="0" applyFont="1" applyFill="1"/>
    <xf numFmtId="9" fontId="6" fillId="4" borderId="9" xfId="0" applyNumberFormat="1" applyFont="1" applyFill="1" applyBorder="1" applyAlignment="1">
      <alignment vertical="center" wrapText="1"/>
    </xf>
    <xf numFmtId="0" fontId="0" fillId="2" borderId="5" xfId="0" applyFill="1" applyBorder="1"/>
    <xf numFmtId="0" fontId="0" fillId="2" borderId="4" xfId="0" applyFill="1" applyBorder="1"/>
    <xf numFmtId="0" fontId="20" fillId="2" borderId="0" xfId="0" applyFont="1" applyFill="1"/>
    <xf numFmtId="49" fontId="5" fillId="5" borderId="1" xfId="0" applyNumberFormat="1" applyFont="1" applyFill="1" applyBorder="1" applyAlignment="1">
      <alignment horizontal="left" vertical="center" wrapText="1"/>
    </xf>
    <xf numFmtId="49" fontId="5" fillId="5" borderId="2" xfId="0" applyNumberFormat="1" applyFont="1" applyFill="1" applyBorder="1" applyAlignment="1">
      <alignment horizontal="left" vertical="center" wrapText="1"/>
    </xf>
    <xf numFmtId="49" fontId="5" fillId="5" borderId="7" xfId="0" applyNumberFormat="1" applyFont="1" applyFill="1" applyBorder="1" applyAlignment="1">
      <alignment horizontal="left" vertical="center" wrapText="1"/>
    </xf>
    <xf numFmtId="0" fontId="0" fillId="2" borderId="0" xfId="0" applyFill="1" applyAlignment="1">
      <alignment vertical="top"/>
    </xf>
    <xf numFmtId="0" fontId="20" fillId="2" borderId="3" xfId="0" applyFont="1" applyFill="1" applyBorder="1" applyAlignment="1">
      <alignment horizontal="left" vertical="top"/>
    </xf>
    <xf numFmtId="3" fontId="20" fillId="2" borderId="3" xfId="0" applyNumberFormat="1" applyFont="1" applyFill="1" applyBorder="1" applyAlignment="1">
      <alignment horizontal="right" vertical="top"/>
    </xf>
    <xf numFmtId="0" fontId="20" fillId="2" borderId="3" xfId="0" applyFont="1" applyFill="1" applyBorder="1" applyAlignment="1">
      <alignment horizontal="right" vertical="top"/>
    </xf>
    <xf numFmtId="0" fontId="20" fillId="3" borderId="3" xfId="0" applyFont="1" applyFill="1" applyBorder="1" applyAlignment="1">
      <alignment horizontal="right" vertical="top"/>
    </xf>
    <xf numFmtId="9" fontId="20" fillId="2" borderId="3" xfId="0" applyNumberFormat="1" applyFont="1" applyFill="1" applyBorder="1" applyAlignment="1">
      <alignment horizontal="right" vertical="top"/>
    </xf>
    <xf numFmtId="164" fontId="7" fillId="2" borderId="0" xfId="0" applyNumberFormat="1" applyFont="1" applyFill="1"/>
    <xf numFmtId="9" fontId="6" fillId="2" borderId="0" xfId="0" applyNumberFormat="1" applyFont="1" applyFill="1" applyAlignment="1">
      <alignment vertical="center" wrapText="1"/>
    </xf>
    <xf numFmtId="49" fontId="20" fillId="3" borderId="3" xfId="0" applyNumberFormat="1" applyFont="1" applyFill="1" applyBorder="1" applyAlignment="1">
      <alignment horizontal="left" vertical="top"/>
    </xf>
    <xf numFmtId="49" fontId="20" fillId="3" borderId="3" xfId="0" applyNumberFormat="1" applyFont="1" applyFill="1" applyBorder="1" applyAlignment="1">
      <alignment horizontal="left" vertical="top" wrapText="1"/>
    </xf>
    <xf numFmtId="0" fontId="21" fillId="2" borderId="0" xfId="0" applyFont="1" applyFill="1"/>
    <xf numFmtId="170" fontId="20" fillId="2" borderId="3" xfId="0" applyNumberFormat="1" applyFont="1" applyFill="1" applyBorder="1" applyAlignment="1">
      <alignment horizontal="right" vertical="top"/>
    </xf>
    <xf numFmtId="0" fontId="22" fillId="2" borderId="0" xfId="0" applyFont="1" applyFill="1"/>
    <xf numFmtId="166" fontId="5" fillId="2" borderId="5" xfId="0" applyNumberFormat="1" applyFont="1" applyFill="1" applyBorder="1"/>
    <xf numFmtId="0" fontId="3" fillId="2" borderId="0" xfId="0" applyFont="1" applyFill="1" applyAlignment="1">
      <alignment vertical="center" wrapText="1"/>
    </xf>
    <xf numFmtId="166" fontId="7" fillId="2" borderId="5" xfId="0" applyNumberFormat="1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166" fontId="5" fillId="2" borderId="0" xfId="0" applyNumberFormat="1" applyFont="1" applyFill="1"/>
    <xf numFmtId="171" fontId="5" fillId="2" borderId="5" xfId="0" applyNumberFormat="1" applyFont="1" applyFill="1" applyBorder="1"/>
    <xf numFmtId="172" fontId="5" fillId="2" borderId="5" xfId="0" applyNumberFormat="1" applyFont="1" applyFill="1" applyBorder="1"/>
    <xf numFmtId="172" fontId="7" fillId="2" borderId="5" xfId="0" applyNumberFormat="1" applyFont="1" applyFill="1" applyBorder="1"/>
    <xf numFmtId="171" fontId="7" fillId="2" borderId="5" xfId="0" applyNumberFormat="1" applyFont="1" applyFill="1" applyBorder="1"/>
    <xf numFmtId="172" fontId="7" fillId="2" borderId="6" xfId="0" applyNumberFormat="1" applyFont="1" applyFill="1" applyBorder="1"/>
    <xf numFmtId="171" fontId="7" fillId="2" borderId="7" xfId="0" applyNumberFormat="1" applyFont="1" applyFill="1" applyBorder="1"/>
    <xf numFmtId="171" fontId="5" fillId="2" borderId="7" xfId="0" applyNumberFormat="1" applyFont="1" applyFill="1" applyBorder="1"/>
    <xf numFmtId="172" fontId="7" fillId="2" borderId="0" xfId="0" applyNumberFormat="1" applyFont="1" applyFill="1"/>
    <xf numFmtId="0" fontId="25" fillId="2" borderId="0" xfId="0" applyFont="1" applyFill="1"/>
    <xf numFmtId="0" fontId="24" fillId="2" borderId="4" xfId="0" applyFont="1" applyFill="1" applyBorder="1"/>
    <xf numFmtId="0" fontId="20" fillId="2" borderId="5" xfId="0" applyFont="1" applyFill="1" applyBorder="1"/>
    <xf numFmtId="0" fontId="20" fillId="2" borderId="4" xfId="0" applyFont="1" applyFill="1" applyBorder="1"/>
    <xf numFmtId="0" fontId="24" fillId="2" borderId="0" xfId="0" applyFont="1" applyFill="1"/>
    <xf numFmtId="0" fontId="24" fillId="2" borderId="1" xfId="0" applyFont="1" applyFill="1" applyBorder="1"/>
    <xf numFmtId="0" fontId="20" fillId="2" borderId="2" xfId="0" applyFont="1" applyFill="1" applyBorder="1"/>
    <xf numFmtId="0" fontId="20" fillId="2" borderId="8" xfId="0" applyFont="1" applyFill="1" applyBorder="1"/>
    <xf numFmtId="0" fontId="25" fillId="2" borderId="10" xfId="0" applyFont="1" applyFill="1" applyBorder="1"/>
    <xf numFmtId="0" fontId="23" fillId="2" borderId="0" xfId="0" applyFont="1" applyFill="1"/>
    <xf numFmtId="49" fontId="24" fillId="5" borderId="1" xfId="0" applyNumberFormat="1" applyFont="1" applyFill="1" applyBorder="1" applyAlignment="1">
      <alignment vertical="center" wrapText="1"/>
    </xf>
    <xf numFmtId="49" fontId="24" fillId="5" borderId="2" xfId="0" applyNumberFormat="1" applyFont="1" applyFill="1" applyBorder="1" applyAlignment="1">
      <alignment vertical="center" wrapText="1"/>
    </xf>
    <xf numFmtId="49" fontId="24" fillId="5" borderId="7" xfId="0" applyNumberFormat="1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 wrapText="1"/>
    </xf>
    <xf numFmtId="166" fontId="7" fillId="2" borderId="6" xfId="0" applyNumberFormat="1" applyFont="1" applyFill="1" applyBorder="1" applyAlignment="1">
      <alignment vertical="center" wrapText="1"/>
    </xf>
    <xf numFmtId="166" fontId="25" fillId="2" borderId="0" xfId="0" applyNumberFormat="1" applyFont="1" applyFill="1"/>
    <xf numFmtId="0" fontId="25" fillId="2" borderId="0" xfId="0" applyFont="1" applyFill="1" applyAlignment="1">
      <alignment horizontal="left"/>
    </xf>
    <xf numFmtId="166" fontId="7" fillId="2" borderId="0" xfId="0" applyNumberFormat="1" applyFont="1" applyFill="1" applyAlignment="1">
      <alignment vertical="center" wrapText="1"/>
    </xf>
    <xf numFmtId="1" fontId="20" fillId="3" borderId="3" xfId="0" applyNumberFormat="1" applyFont="1" applyFill="1" applyBorder="1" applyAlignment="1">
      <alignment horizontal="right" vertical="top" wrapText="1"/>
    </xf>
    <xf numFmtId="0" fontId="26" fillId="2" borderId="0" xfId="1" applyFont="1" applyFill="1"/>
    <xf numFmtId="0" fontId="5" fillId="2" borderId="8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5" fillId="2" borderId="4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4" fillId="4" borderId="11" xfId="0" applyFont="1" applyFill="1" applyBorder="1" applyAlignment="1"/>
    <xf numFmtId="0" fontId="4" fillId="4" borderId="12" xfId="0" applyFont="1" applyFill="1" applyBorder="1" applyAlignment="1"/>
    <xf numFmtId="0" fontId="4" fillId="4" borderId="9" xfId="0" applyFont="1" applyFill="1" applyBorder="1" applyAlignment="1"/>
    <xf numFmtId="0" fontId="5" fillId="2" borderId="4" xfId="0" applyFont="1" applyFill="1" applyBorder="1" applyAlignment="1"/>
    <xf numFmtId="0" fontId="5" fillId="2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5443</xdr:colOff>
      <xdr:row>55</xdr:row>
      <xdr:rowOff>50898</xdr:rowOff>
    </xdr:from>
    <xdr:to>
      <xdr:col>10</xdr:col>
      <xdr:colOff>616403</xdr:colOff>
      <xdr:row>74</xdr:row>
      <xdr:rowOff>54426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2A94EDC-0D45-7F8E-7DD3-5A6B17107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3" y="10229041"/>
          <a:ext cx="7151914" cy="35196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136072</xdr:rowOff>
    </xdr:from>
    <xdr:to>
      <xdr:col>11</xdr:col>
      <xdr:colOff>222889</xdr:colOff>
      <xdr:row>28</xdr:row>
      <xdr:rowOff>87085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B003EC1B-A779-5F85-224E-A39D1F04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5901"/>
          <a:ext cx="7407460" cy="4022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108842</xdr:rowOff>
    </xdr:from>
    <xdr:to>
      <xdr:col>11</xdr:col>
      <xdr:colOff>225490</xdr:colOff>
      <xdr:row>52</xdr:row>
      <xdr:rowOff>98528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80BC20B-5AE8-53B1-D41F-AF17C6CC3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508086"/>
          <a:ext cx="7410061" cy="3535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statistics-explained/images/d/d6/Statistic_Explained_figures_for_Gas_2024S2_v2.xlsx" TargetMode="External"/><Relationship Id="rId2" Type="http://schemas.openxmlformats.org/officeDocument/2006/relationships/hyperlink" Target="https://www.iea.org/reports/gas-market-report-q3-2025/executive-summary" TargetMode="External"/><Relationship Id="rId1" Type="http://schemas.openxmlformats.org/officeDocument/2006/relationships/hyperlink" Target="https://tradingeconomics.com/commodity/eu-natural-ga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isoplus.group/products/product-portfolio/details/product/isoflex-single-pip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AC9B-014B-4A44-B879-FDE3F0A39D04}">
  <dimension ref="A1:Y45"/>
  <sheetViews>
    <sheetView tabSelected="1" workbookViewId="0"/>
  </sheetViews>
  <sheetFormatPr defaultColWidth="9.28515625" defaultRowHeight="47.65" customHeight="1"/>
  <cols>
    <col min="1" max="1" width="26.28515625" style="81" customWidth="1"/>
    <col min="2" max="2" width="17.42578125" style="81" customWidth="1"/>
    <col min="3" max="3" width="13" style="81" customWidth="1"/>
    <col min="4" max="4" width="12.5703125" style="81" customWidth="1"/>
    <col min="5" max="5" width="25" style="81" customWidth="1"/>
    <col min="6" max="6" width="13" style="81" customWidth="1"/>
    <col min="7" max="7" width="22.5703125" style="81" customWidth="1"/>
    <col min="8" max="8" width="11.42578125" style="81" customWidth="1"/>
    <col min="9" max="9" width="28.28515625" style="81" customWidth="1"/>
    <col min="10" max="10" width="12.42578125" style="81" customWidth="1"/>
    <col min="11" max="11" width="17.28515625" style="81" customWidth="1"/>
    <col min="12" max="12" width="29" style="81" customWidth="1"/>
    <col min="13" max="13" width="17.140625" style="81" customWidth="1"/>
    <col min="14" max="14" width="24.42578125" style="81" customWidth="1"/>
    <col min="15" max="15" width="10.5703125" style="81" customWidth="1"/>
    <col min="16" max="16" width="9.7109375" style="81" customWidth="1"/>
    <col min="17" max="17" width="17.28515625" style="81" customWidth="1"/>
    <col min="18" max="18" width="35.85546875" style="81" customWidth="1"/>
    <col min="19" max="16384" width="9.28515625" style="81"/>
  </cols>
  <sheetData>
    <row r="1" spans="1:17" ht="14.65"/>
    <row r="2" spans="1:17" ht="33.4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4.6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4.65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4.6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4.65">
      <c r="A6" s="81" t="s">
        <v>3</v>
      </c>
    </row>
    <row r="7" spans="1:17" ht="14.65"/>
    <row r="8" spans="1:17" ht="14.65">
      <c r="A8" s="81" t="s">
        <v>4</v>
      </c>
    </row>
    <row r="9" spans="1:17" ht="14.65">
      <c r="A9" s="81" t="s">
        <v>5</v>
      </c>
    </row>
    <row r="10" spans="1:17" ht="14.65">
      <c r="A10" s="81" t="s">
        <v>6</v>
      </c>
    </row>
    <row r="11" spans="1:17" ht="14.65"/>
    <row r="12" spans="1:17" ht="14.65">
      <c r="A12" s="81" t="s">
        <v>7</v>
      </c>
    </row>
    <row r="13" spans="1:17" ht="14.65">
      <c r="A13" s="81" t="s">
        <v>8</v>
      </c>
    </row>
    <row r="14" spans="1:17" ht="14.65"/>
    <row r="15" spans="1:17" ht="14.65">
      <c r="A15" s="81" t="s">
        <v>9</v>
      </c>
    </row>
    <row r="16" spans="1:17" ht="14.65">
      <c r="A16" s="81" t="s">
        <v>10</v>
      </c>
    </row>
    <row r="17" spans="1:25" ht="14.65">
      <c r="A17" s="81" t="s">
        <v>11</v>
      </c>
    </row>
    <row r="18" spans="1:25" ht="14.65">
      <c r="A18" s="81" t="s">
        <v>12</v>
      </c>
    </row>
    <row r="19" spans="1:25" ht="14.65"/>
    <row r="20" spans="1:25" ht="14.65">
      <c r="A20" s="81" t="s">
        <v>13</v>
      </c>
    </row>
    <row r="21" spans="1:25" ht="14.65"/>
    <row r="22" spans="1:25" ht="14.65">
      <c r="A22" s="81" t="s">
        <v>14</v>
      </c>
    </row>
    <row r="23" spans="1:25" ht="14.65"/>
    <row r="24" spans="1:25" ht="14.65">
      <c r="A24" s="101" t="s">
        <v>15</v>
      </c>
    </row>
    <row r="25" spans="1:25" ht="14.65">
      <c r="A25" s="101" t="s">
        <v>16</v>
      </c>
    </row>
    <row r="26" spans="1:25" ht="14.65">
      <c r="A26" s="101" t="s">
        <v>17</v>
      </c>
    </row>
    <row r="27" spans="1:25" ht="14.65">
      <c r="A27" s="101"/>
    </row>
    <row r="28" spans="1:25" ht="14.65">
      <c r="A28" s="101" t="s">
        <v>18</v>
      </c>
    </row>
    <row r="29" spans="1:25" ht="14.65">
      <c r="A29" s="86"/>
      <c r="Y29" s="85"/>
    </row>
    <row r="30" spans="1:25" ht="14.65"/>
    <row r="31" spans="1:25" ht="47.65" customHeight="1">
      <c r="A31" s="88" t="s">
        <v>19</v>
      </c>
      <c r="B31" s="89" t="s">
        <v>20</v>
      </c>
      <c r="C31" s="89" t="s">
        <v>21</v>
      </c>
      <c r="D31" s="89" t="s">
        <v>22</v>
      </c>
      <c r="E31" s="89"/>
      <c r="F31" s="89" t="s">
        <v>23</v>
      </c>
      <c r="G31" s="89"/>
      <c r="H31" s="89" t="s">
        <v>24</v>
      </c>
      <c r="I31" s="89" t="s">
        <v>25</v>
      </c>
      <c r="J31" s="89" t="s">
        <v>26</v>
      </c>
      <c r="K31" s="89" t="s">
        <v>27</v>
      </c>
      <c r="L31" s="89" t="s">
        <v>28</v>
      </c>
      <c r="M31" s="89" t="s">
        <v>29</v>
      </c>
      <c r="N31" s="89" t="s">
        <v>30</v>
      </c>
      <c r="O31" s="89" t="s">
        <v>31</v>
      </c>
      <c r="P31" s="89" t="s">
        <v>32</v>
      </c>
      <c r="Q31" s="90" t="s">
        <v>33</v>
      </c>
      <c r="R31" s="89" t="s">
        <v>34</v>
      </c>
    </row>
    <row r="32" spans="1:25" s="91" customFormat="1" ht="47.65" customHeight="1">
      <c r="A32" s="92" t="s">
        <v>35</v>
      </c>
      <c r="B32" s="92" t="s">
        <v>36</v>
      </c>
      <c r="C32" s="93">
        <v>1000</v>
      </c>
      <c r="D32" s="93">
        <v>150</v>
      </c>
      <c r="E32" s="100" t="s">
        <v>37</v>
      </c>
      <c r="F32" s="93">
        <v>54</v>
      </c>
      <c r="G32" s="100" t="s">
        <v>38</v>
      </c>
      <c r="H32" s="93">
        <v>12</v>
      </c>
      <c r="I32" s="100" t="s">
        <v>39</v>
      </c>
      <c r="J32" s="135">
        <f>SUM(F32+H32)</f>
        <v>66</v>
      </c>
      <c r="K32" s="96">
        <v>0.3</v>
      </c>
      <c r="L32" s="100" t="s">
        <v>40</v>
      </c>
      <c r="M32" s="93"/>
      <c r="N32" s="100" t="s">
        <v>41</v>
      </c>
      <c r="O32" s="95">
        <v>30</v>
      </c>
      <c r="P32" s="95">
        <v>80</v>
      </c>
      <c r="Q32" s="95" t="s">
        <v>42</v>
      </c>
      <c r="R32" s="99" t="s">
        <v>43</v>
      </c>
    </row>
    <row r="33" spans="1:18" s="91" customFormat="1" ht="47.65" customHeight="1">
      <c r="A33" s="92" t="s">
        <v>44</v>
      </c>
      <c r="B33" s="92" t="s">
        <v>45</v>
      </c>
      <c r="C33" s="93">
        <v>1560</v>
      </c>
      <c r="D33" s="93">
        <v>50</v>
      </c>
      <c r="E33" s="100" t="s">
        <v>46</v>
      </c>
      <c r="F33" s="93">
        <v>58</v>
      </c>
      <c r="G33" s="100" t="s">
        <v>47</v>
      </c>
      <c r="H33" s="93">
        <v>13</v>
      </c>
      <c r="I33" s="100" t="s">
        <v>47</v>
      </c>
      <c r="J33" s="135">
        <f t="shared" ref="J33:J37" si="0">SUM(F33+H33)</f>
        <v>71</v>
      </c>
      <c r="K33" s="96">
        <v>0.02</v>
      </c>
      <c r="L33" s="100" t="s">
        <v>48</v>
      </c>
      <c r="M33" s="93">
        <v>0</v>
      </c>
      <c r="N33" s="100"/>
      <c r="O33" s="95">
        <v>30</v>
      </c>
      <c r="P33" s="95">
        <v>80</v>
      </c>
      <c r="Q33" s="95" t="s">
        <v>42</v>
      </c>
      <c r="R33" s="100" t="s">
        <v>43</v>
      </c>
    </row>
    <row r="34" spans="1:18" s="91" customFormat="1" ht="47.65" customHeight="1">
      <c r="A34" s="92" t="s">
        <v>49</v>
      </c>
      <c r="B34" s="92" t="s">
        <v>50</v>
      </c>
      <c r="C34" s="93">
        <v>15000</v>
      </c>
      <c r="D34" s="93">
        <v>140</v>
      </c>
      <c r="E34" s="100" t="s">
        <v>51</v>
      </c>
      <c r="F34" s="93">
        <v>78</v>
      </c>
      <c r="G34" s="100"/>
      <c r="H34" s="93">
        <v>0</v>
      </c>
      <c r="I34" s="100" t="s">
        <v>52</v>
      </c>
      <c r="J34" s="135">
        <f t="shared" si="0"/>
        <v>78</v>
      </c>
      <c r="K34" s="102">
        <v>3.0000000000000001E-3</v>
      </c>
      <c r="L34" s="100" t="s">
        <v>53</v>
      </c>
      <c r="M34" s="93">
        <v>0</v>
      </c>
      <c r="N34" s="100" t="s">
        <v>54</v>
      </c>
      <c r="O34" s="95" t="s">
        <v>55</v>
      </c>
      <c r="P34" s="95">
        <v>55</v>
      </c>
      <c r="Q34" s="95" t="s">
        <v>42</v>
      </c>
      <c r="R34" s="100" t="s">
        <v>43</v>
      </c>
    </row>
    <row r="35" spans="1:18" s="91" customFormat="1" ht="47.65" customHeight="1">
      <c r="A35" s="92" t="s">
        <v>56</v>
      </c>
      <c r="B35" s="92" t="s">
        <v>57</v>
      </c>
      <c r="C35" s="94">
        <v>1000</v>
      </c>
      <c r="D35" s="94">
        <v>100</v>
      </c>
      <c r="E35" s="100" t="s">
        <v>58</v>
      </c>
      <c r="F35" s="94">
        <v>42</v>
      </c>
      <c r="G35" s="100"/>
      <c r="H35" s="93">
        <v>20</v>
      </c>
      <c r="I35" s="100"/>
      <c r="J35" s="135">
        <f t="shared" si="0"/>
        <v>62</v>
      </c>
      <c r="K35" s="96">
        <v>0.3</v>
      </c>
      <c r="L35" s="100" t="s">
        <v>59</v>
      </c>
      <c r="M35" s="93">
        <v>0</v>
      </c>
      <c r="N35" s="100"/>
      <c r="O35" s="95">
        <v>55</v>
      </c>
      <c r="P35" s="95">
        <v>55</v>
      </c>
      <c r="Q35" s="95" t="s">
        <v>42</v>
      </c>
      <c r="R35" s="100" t="s">
        <v>60</v>
      </c>
    </row>
    <row r="36" spans="1:18" s="91" customFormat="1" ht="47.65" customHeight="1">
      <c r="A36" s="92" t="s">
        <v>61</v>
      </c>
      <c r="B36" s="92" t="s">
        <v>62</v>
      </c>
      <c r="C36" s="93">
        <v>3000</v>
      </c>
      <c r="D36" s="93">
        <v>90</v>
      </c>
      <c r="E36" s="100" t="s">
        <v>63</v>
      </c>
      <c r="F36" s="93">
        <v>48</v>
      </c>
      <c r="G36" s="100"/>
      <c r="H36" s="93">
        <v>4</v>
      </c>
      <c r="I36" s="100"/>
      <c r="J36" s="135">
        <f t="shared" si="0"/>
        <v>52</v>
      </c>
      <c r="K36" s="96">
        <v>0.5</v>
      </c>
      <c r="L36" s="100" t="s">
        <v>64</v>
      </c>
      <c r="M36" s="93">
        <v>0</v>
      </c>
      <c r="N36" s="100" t="s">
        <v>65</v>
      </c>
      <c r="O36" s="95">
        <v>30</v>
      </c>
      <c r="P36" s="95">
        <v>80</v>
      </c>
      <c r="Q36" s="95" t="s">
        <v>42</v>
      </c>
      <c r="R36" s="100" t="s">
        <v>66</v>
      </c>
    </row>
    <row r="37" spans="1:18" s="91" customFormat="1" ht="47.65" customHeight="1">
      <c r="A37" s="92" t="s">
        <v>67</v>
      </c>
      <c r="B37" s="92" t="s">
        <v>68</v>
      </c>
      <c r="C37" s="93">
        <v>30000</v>
      </c>
      <c r="D37" s="93">
        <v>90</v>
      </c>
      <c r="E37" s="100" t="s">
        <v>69</v>
      </c>
      <c r="F37" s="93">
        <v>78</v>
      </c>
      <c r="G37" s="100"/>
      <c r="H37" s="93">
        <v>31</v>
      </c>
      <c r="I37" s="100"/>
      <c r="J37" s="135">
        <f t="shared" si="0"/>
        <v>109</v>
      </c>
      <c r="K37" s="96">
        <v>0.25</v>
      </c>
      <c r="L37" s="100" t="s">
        <v>70</v>
      </c>
      <c r="M37" s="93">
        <v>0</v>
      </c>
      <c r="N37" s="100"/>
      <c r="O37" s="95">
        <v>30</v>
      </c>
      <c r="P37" s="95">
        <v>75</v>
      </c>
      <c r="Q37" s="95" t="s">
        <v>42</v>
      </c>
      <c r="R37" s="100" t="s">
        <v>71</v>
      </c>
    </row>
    <row r="38" spans="1:18" ht="16.7" customHeight="1">
      <c r="A38" s="101" t="s">
        <v>72</v>
      </c>
    </row>
    <row r="39" spans="1:18" ht="15" customHeight="1">
      <c r="A39" s="136" t="s">
        <v>73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</row>
    <row r="40" spans="1:18" ht="15" customHeight="1">
      <c r="A40" s="136" t="s">
        <v>74</v>
      </c>
    </row>
    <row r="41" spans="1:18" ht="15" customHeight="1">
      <c r="A41" s="136" t="s">
        <v>75</v>
      </c>
    </row>
    <row r="42" spans="1:18" ht="15" customHeight="1"/>
    <row r="43" spans="1:18" ht="15" customHeight="1"/>
    <row r="44" spans="1:18" ht="15" customHeight="1"/>
    <row r="45" spans="1:18" ht="15" customHeight="1"/>
  </sheetData>
  <hyperlinks>
    <hyperlink ref="A39" r:id="rId1" xr:uid="{4A73343C-612D-4C8D-9C19-356F80514E5C}"/>
    <hyperlink ref="A40" r:id="rId2" xr:uid="{8EFB517D-7AC4-4839-B7D2-B1A82151F0A1}"/>
    <hyperlink ref="A41" r:id="rId3" xr:uid="{555EDB4C-9676-4115-9B40-89E48623BF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6E0D-8417-4237-A26C-60E8BDA93971}">
  <dimension ref="A1:Z175"/>
  <sheetViews>
    <sheetView zoomScale="90" zoomScaleNormal="90" workbookViewId="0"/>
  </sheetViews>
  <sheetFormatPr defaultColWidth="9.28515625" defaultRowHeight="14.65"/>
  <cols>
    <col min="1" max="9" width="15.7109375" style="3" customWidth="1"/>
    <col min="10" max="10" width="15.7109375" style="7" customWidth="1"/>
    <col min="11" max="25" width="15.7109375" style="3" customWidth="1"/>
    <col min="26" max="16384" width="9.28515625" style="3"/>
  </cols>
  <sheetData>
    <row r="1" spans="1:25">
      <c r="F1" s="143" t="s">
        <v>35</v>
      </c>
      <c r="G1" s="144"/>
      <c r="H1" s="145"/>
      <c r="I1" s="7" t="s">
        <v>76</v>
      </c>
    </row>
    <row r="2" spans="1:25">
      <c r="F2" s="7"/>
      <c r="G2" s="7"/>
      <c r="H2" s="7"/>
      <c r="I2" s="7" t="str">
        <f>_xlfn.XLOOKUP(F1, Introduction!A:A, Introduction!R:R, 0)</f>
        <v xml:space="preserve">  </v>
      </c>
    </row>
    <row r="3" spans="1:25" s="1" customFormat="1" ht="33.4">
      <c r="A3" s="1" t="s">
        <v>77</v>
      </c>
      <c r="I3" s="103"/>
      <c r="J3" s="42"/>
    </row>
    <row r="4" spans="1:25">
      <c r="A4" s="2" t="s">
        <v>78</v>
      </c>
      <c r="F4" s="4" t="s">
        <v>79</v>
      </c>
      <c r="G4" s="14"/>
      <c r="H4" s="19">
        <f>_xlfn.XLOOKUP(F1, Introduction!A:A, Introduction!C:C, 0)</f>
        <v>1000</v>
      </c>
      <c r="I4" s="7"/>
      <c r="J4" s="97"/>
      <c r="T4" s="7" t="s">
        <v>80</v>
      </c>
    </row>
    <row r="5" spans="1:25">
      <c r="A5" s="7" t="s">
        <v>81</v>
      </c>
      <c r="F5" s="8" t="s">
        <v>82</v>
      </c>
      <c r="G5" s="9"/>
      <c r="H5" s="10">
        <f>SUM(H4*3.281)</f>
        <v>3281</v>
      </c>
      <c r="I5" s="7" t="s">
        <v>83</v>
      </c>
      <c r="J5" s="3"/>
    </row>
    <row r="6" spans="1:25">
      <c r="A6" s="3" t="s">
        <v>84</v>
      </c>
      <c r="F6" s="11"/>
      <c r="G6" s="9"/>
      <c r="H6" s="12"/>
      <c r="I6" s="7" t="s">
        <v>85</v>
      </c>
      <c r="J6" s="42"/>
      <c r="T6" s="4" t="s">
        <v>86</v>
      </c>
      <c r="U6" s="13"/>
      <c r="V6" s="5"/>
      <c r="W6" s="14"/>
    </row>
    <row r="7" spans="1:25">
      <c r="A7" s="3" t="s">
        <v>87</v>
      </c>
      <c r="F7" s="15" t="s">
        <v>88</v>
      </c>
      <c r="G7" s="17"/>
      <c r="H7" s="19">
        <f>_xlfn.XLOOKUP(F1, Introduction!A:A, Introduction!D:D, 0)</f>
        <v>150</v>
      </c>
      <c r="I7" s="7"/>
      <c r="J7" s="42"/>
      <c r="T7" s="11" t="s">
        <v>89</v>
      </c>
      <c r="U7" s="16"/>
      <c r="V7" s="9"/>
      <c r="W7" s="6">
        <v>30</v>
      </c>
    </row>
    <row r="8" spans="1:25">
      <c r="F8" s="15" t="s">
        <v>90</v>
      </c>
      <c r="G8" s="17"/>
      <c r="H8" s="19">
        <f>_xlfn.XLOOKUP(F1, Introduction!A:A, Introduction!F:F, 0)</f>
        <v>54</v>
      </c>
      <c r="I8" s="7"/>
      <c r="J8" s="42"/>
      <c r="T8" s="11" t="s">
        <v>91</v>
      </c>
      <c r="U8" s="16"/>
      <c r="V8" s="9"/>
      <c r="W8" s="6">
        <v>6</v>
      </c>
    </row>
    <row r="9" spans="1:25">
      <c r="A9" s="7" t="s">
        <v>92</v>
      </c>
      <c r="F9" s="15" t="s">
        <v>93</v>
      </c>
      <c r="G9" s="17"/>
      <c r="H9" s="19">
        <f>_xlfn.XLOOKUP(F1, Introduction!A:A, Introduction!H:H, 0)</f>
        <v>12</v>
      </c>
      <c r="I9" s="7" t="str">
        <f>_xlfn.XLOOKUP(F1, Introduction!A:A, Introduction!I:I, 0)</f>
        <v>EU ETS only applies to industries over 20 MW; thus it does not pertain to the use cases.</v>
      </c>
      <c r="J9" s="98"/>
      <c r="T9" s="11" t="s">
        <v>94</v>
      </c>
      <c r="U9" s="16"/>
      <c r="V9" s="9"/>
      <c r="W9" s="20">
        <f>SUM(U25)</f>
        <v>5.3543178560569865E-2</v>
      </c>
    </row>
    <row r="10" spans="1:25">
      <c r="A10" s="7"/>
      <c r="F10" s="15" t="s">
        <v>95</v>
      </c>
      <c r="G10" s="17"/>
      <c r="H10" s="84">
        <f>_xlfn.XLOOKUP(F1, Introduction!A:A, Introduction!K:K, 0)</f>
        <v>0.3</v>
      </c>
      <c r="I10" s="7" t="str">
        <f>_xlfn.XLOOKUP(F1, Introduction!A:A, Introduction!L:L, 0)</f>
        <v>CAPEX subsidies are often generous, especially for replacing fossil systems w/ heat pumps.</v>
      </c>
      <c r="J10" s="42"/>
      <c r="T10" s="11"/>
      <c r="U10" s="16"/>
      <c r="V10" s="9"/>
      <c r="W10" s="20"/>
    </row>
    <row r="11" spans="1:25">
      <c r="A11" s="7"/>
      <c r="F11" s="18" t="s">
        <v>96</v>
      </c>
      <c r="G11" s="12"/>
      <c r="H11" s="19">
        <f>_xlfn.XLOOKUP(F1, Introduction!A:A, Introduction!M:M, 0)</f>
        <v>0</v>
      </c>
      <c r="I11" s="7" t="str">
        <f>_xlfn.XLOOKUP(F1, Introduction!A:A, Introduction!N:N, 0)</f>
        <v>OPEX support is not formalized. EU ETS does not apply.</v>
      </c>
      <c r="J11" s="3"/>
      <c r="T11" s="11"/>
      <c r="U11" s="16"/>
      <c r="V11" s="9"/>
      <c r="W11" s="20"/>
    </row>
    <row r="12" spans="1:25">
      <c r="J12" s="3"/>
      <c r="T12" s="21" t="s">
        <v>97</v>
      </c>
      <c r="U12" s="22"/>
      <c r="V12" s="23"/>
      <c r="W12" s="24">
        <f>SUM(U26)</f>
        <v>29.94645682143943</v>
      </c>
    </row>
    <row r="13" spans="1:25" ht="23.1">
      <c r="A13" s="25" t="s">
        <v>98</v>
      </c>
      <c r="B13" s="26"/>
      <c r="C13" s="26"/>
      <c r="D13" s="26"/>
      <c r="E13" s="26"/>
      <c r="F13" s="25" t="s">
        <v>99</v>
      </c>
    </row>
    <row r="14" spans="1:25">
      <c r="A14" s="7" t="s">
        <v>100</v>
      </c>
      <c r="F14" s="7" t="s">
        <v>101</v>
      </c>
    </row>
    <row r="16" spans="1:25" s="28" customFormat="1" ht="28.35">
      <c r="A16" s="27" t="s">
        <v>102</v>
      </c>
      <c r="F16" s="27" t="s">
        <v>102</v>
      </c>
      <c r="K16" s="29" t="s">
        <v>103</v>
      </c>
      <c r="S16" s="30" t="s">
        <v>104</v>
      </c>
      <c r="T16" s="31"/>
      <c r="U16" s="31"/>
      <c r="V16" s="31"/>
      <c r="W16" s="31"/>
      <c r="X16" s="31"/>
      <c r="Y16" s="32"/>
    </row>
    <row r="17" spans="1:26" ht="29.1">
      <c r="A17" s="33" t="s">
        <v>105</v>
      </c>
      <c r="B17" s="34"/>
      <c r="C17" s="35" t="s">
        <v>106</v>
      </c>
      <c r="D17" s="36" t="s">
        <v>107</v>
      </c>
      <c r="F17" s="33" t="s">
        <v>105</v>
      </c>
      <c r="G17" s="34"/>
      <c r="H17" s="35" t="s">
        <v>106</v>
      </c>
      <c r="I17" s="36" t="s">
        <v>107</v>
      </c>
      <c r="K17" s="7"/>
      <c r="S17" s="11" t="s">
        <v>108</v>
      </c>
      <c r="T17" s="9"/>
      <c r="U17" s="9">
        <f>SUM(W7)</f>
        <v>30</v>
      </c>
      <c r="V17" s="9"/>
      <c r="W17" s="9"/>
      <c r="X17" s="9"/>
      <c r="Y17" s="17"/>
    </row>
    <row r="18" spans="1:26">
      <c r="A18" s="139" t="s">
        <v>109</v>
      </c>
      <c r="B18" s="140"/>
      <c r="C18" s="39">
        <v>120</v>
      </c>
      <c r="D18" s="39">
        <f>SUM(C18)*C24</f>
        <v>120000</v>
      </c>
      <c r="F18" s="139" t="s">
        <v>109</v>
      </c>
      <c r="G18" s="140"/>
      <c r="H18" s="39">
        <v>120</v>
      </c>
      <c r="I18" s="39">
        <f>SUM(H18)*H24</f>
        <v>120000</v>
      </c>
      <c r="K18" s="7" t="s">
        <v>110</v>
      </c>
      <c r="S18" s="11" t="s">
        <v>111</v>
      </c>
      <c r="T18" s="9"/>
      <c r="U18" s="9">
        <f>SUM(W8)</f>
        <v>6</v>
      </c>
      <c r="V18" s="9"/>
      <c r="W18" s="9" t="s">
        <v>112</v>
      </c>
      <c r="X18" s="9"/>
      <c r="Y18" s="17"/>
    </row>
    <row r="19" spans="1:26">
      <c r="A19" s="139" t="s">
        <v>113</v>
      </c>
      <c r="B19" s="140"/>
      <c r="C19" s="39">
        <v>45</v>
      </c>
      <c r="D19" s="39">
        <f>SUM(C19)*C24</f>
        <v>45000</v>
      </c>
      <c r="F19" s="139" t="s">
        <v>113</v>
      </c>
      <c r="G19" s="140"/>
      <c r="H19" s="39">
        <v>45</v>
      </c>
      <c r="I19" s="39">
        <f>SUM(H19)*H24</f>
        <v>45000</v>
      </c>
      <c r="K19" s="7" t="s">
        <v>114</v>
      </c>
      <c r="S19" s="11" t="s">
        <v>115</v>
      </c>
      <c r="T19" s="9"/>
      <c r="U19" s="9">
        <f>SUM(U17-U18)</f>
        <v>24</v>
      </c>
      <c r="V19" s="9"/>
      <c r="W19" s="16" t="s">
        <v>116</v>
      </c>
      <c r="X19" s="9"/>
      <c r="Y19" s="17"/>
    </row>
    <row r="20" spans="1:26">
      <c r="A20" s="139" t="s">
        <v>117</v>
      </c>
      <c r="B20" s="140"/>
      <c r="C20" s="39">
        <v>10</v>
      </c>
      <c r="D20" s="39">
        <f>SUM(C20)*C24</f>
        <v>10000</v>
      </c>
      <c r="F20" s="139" t="s">
        <v>117</v>
      </c>
      <c r="G20" s="140"/>
      <c r="H20" s="39">
        <v>10</v>
      </c>
      <c r="I20" s="39">
        <f>SUM(H20)*H24</f>
        <v>10000</v>
      </c>
      <c r="K20" s="7" t="s">
        <v>118</v>
      </c>
      <c r="S20" s="11" t="s">
        <v>119</v>
      </c>
      <c r="T20" s="9"/>
      <c r="U20" s="9">
        <v>0.5</v>
      </c>
      <c r="V20" s="9"/>
      <c r="W20" s="9" t="s">
        <v>120</v>
      </c>
      <c r="X20" s="9"/>
      <c r="Y20" s="17"/>
      <c r="Z20" s="40" t="s">
        <v>121</v>
      </c>
    </row>
    <row r="21" spans="1:26">
      <c r="A21" s="139" t="s">
        <v>122</v>
      </c>
      <c r="B21" s="140"/>
      <c r="C21" s="39">
        <v>100</v>
      </c>
      <c r="D21" s="39">
        <f>SUM(C21)*C24</f>
        <v>100000</v>
      </c>
      <c r="F21" s="139" t="s">
        <v>123</v>
      </c>
      <c r="G21" s="140"/>
      <c r="H21" s="39">
        <v>100</v>
      </c>
      <c r="I21" s="39">
        <f>SUM(H21)*H24</f>
        <v>100000</v>
      </c>
      <c r="K21" s="7" t="s">
        <v>124</v>
      </c>
      <c r="S21" s="11" t="s">
        <v>125</v>
      </c>
      <c r="T21" s="9"/>
      <c r="U21" s="41">
        <f>SUM(U20*3.1415*0.1308*U19)</f>
        <v>4.9308984000000002</v>
      </c>
      <c r="V21" s="9"/>
      <c r="W21" s="16" t="s">
        <v>126</v>
      </c>
      <c r="X21" s="9"/>
      <c r="Y21" s="17"/>
    </row>
    <row r="22" spans="1:26" ht="13.7" customHeight="1">
      <c r="A22" s="139" t="s">
        <v>127</v>
      </c>
      <c r="B22" s="140"/>
      <c r="C22" s="39">
        <v>50</v>
      </c>
      <c r="D22" s="39">
        <f>SUM(C22)*C24</f>
        <v>50000</v>
      </c>
      <c r="F22" s="139" t="s">
        <v>127</v>
      </c>
      <c r="G22" s="140"/>
      <c r="H22" s="39">
        <v>50</v>
      </c>
      <c r="I22" s="39">
        <f>SUM(H22)*H24</f>
        <v>50000</v>
      </c>
      <c r="K22" s="7"/>
      <c r="S22" s="11"/>
      <c r="T22" s="9"/>
      <c r="U22" s="41"/>
      <c r="V22" s="9"/>
      <c r="W22" s="16"/>
      <c r="X22" s="9"/>
      <c r="Y22" s="17"/>
    </row>
    <row r="23" spans="1:26">
      <c r="A23" s="139" t="s">
        <v>128</v>
      </c>
      <c r="B23" s="140"/>
      <c r="C23" s="140"/>
      <c r="D23" s="39">
        <v>5000</v>
      </c>
      <c r="F23" s="139" t="s">
        <v>129</v>
      </c>
      <c r="G23" s="140"/>
      <c r="H23" s="140"/>
      <c r="I23" s="39">
        <v>5000</v>
      </c>
      <c r="K23" s="7"/>
      <c r="S23" s="11"/>
      <c r="T23" s="9"/>
      <c r="U23" s="41"/>
      <c r="V23" s="9"/>
      <c r="W23" s="16"/>
      <c r="X23" s="9"/>
      <c r="Y23" s="17"/>
    </row>
    <row r="24" spans="1:26">
      <c r="A24" s="141" t="s">
        <v>130</v>
      </c>
      <c r="B24" s="142"/>
      <c r="C24" s="42">
        <f>SUM(H4)</f>
        <v>1000</v>
      </c>
      <c r="D24" s="39"/>
      <c r="F24" s="141" t="s">
        <v>130</v>
      </c>
      <c r="G24" s="142"/>
      <c r="H24" s="42">
        <f>SUM(H4)</f>
        <v>1000</v>
      </c>
      <c r="I24" s="39"/>
      <c r="K24" s="7" t="s">
        <v>131</v>
      </c>
      <c r="S24" s="11" t="s">
        <v>132</v>
      </c>
      <c r="T24" s="9"/>
      <c r="U24" s="43">
        <f>SUM((U21)/(22*4186))</f>
        <v>5.3543178560569866E-5</v>
      </c>
      <c r="V24" s="9"/>
      <c r="W24" s="16" t="s">
        <v>133</v>
      </c>
      <c r="X24" s="9"/>
      <c r="Y24" s="17"/>
    </row>
    <row r="25" spans="1:26">
      <c r="A25" s="137" t="s">
        <v>134</v>
      </c>
      <c r="B25" s="138"/>
      <c r="C25" s="44"/>
      <c r="D25" s="45">
        <f>SUM(D18:D24)</f>
        <v>330000</v>
      </c>
      <c r="F25" s="137" t="s">
        <v>134</v>
      </c>
      <c r="G25" s="138"/>
      <c r="H25" s="44"/>
      <c r="I25" s="45">
        <f>SUM(I18:I24)</f>
        <v>330000</v>
      </c>
      <c r="S25" s="11" t="s">
        <v>135</v>
      </c>
      <c r="T25" s="9"/>
      <c r="U25" s="41">
        <f>SUM(U24*H4)</f>
        <v>5.3543178560569865E-2</v>
      </c>
      <c r="V25" s="9"/>
      <c r="W25" s="16" t="s">
        <v>136</v>
      </c>
      <c r="X25" s="9"/>
      <c r="Y25" s="17"/>
    </row>
    <row r="26" spans="1:26">
      <c r="A26" s="38"/>
      <c r="B26" s="46"/>
      <c r="C26" s="47"/>
      <c r="F26" s="38"/>
      <c r="G26" s="46"/>
      <c r="H26" s="47"/>
      <c r="S26" s="21" t="s">
        <v>97</v>
      </c>
      <c r="T26" s="23"/>
      <c r="U26" s="48">
        <f>SUM(U17-U25)</f>
        <v>29.94645682143943</v>
      </c>
      <c r="V26" s="23"/>
      <c r="W26" s="23"/>
      <c r="X26" s="23"/>
      <c r="Y26" s="12"/>
    </row>
    <row r="27" spans="1:26">
      <c r="A27" s="38"/>
      <c r="B27" s="46"/>
      <c r="C27" s="47"/>
      <c r="F27" s="38"/>
      <c r="G27" s="46"/>
      <c r="H27" s="47"/>
    </row>
    <row r="29" spans="1:26" s="28" customFormat="1" ht="26.1">
      <c r="A29" s="28" t="s">
        <v>137</v>
      </c>
      <c r="F29" s="28" t="s">
        <v>138</v>
      </c>
      <c r="J29" s="29"/>
    </row>
    <row r="30" spans="1:26" s="50" customFormat="1" ht="29.1">
      <c r="A30" s="33" t="s">
        <v>105</v>
      </c>
      <c r="B30" s="49"/>
      <c r="C30" s="35" t="s">
        <v>139</v>
      </c>
      <c r="D30" s="36" t="s">
        <v>107</v>
      </c>
      <c r="F30" s="33" t="s">
        <v>105</v>
      </c>
      <c r="G30" s="49"/>
      <c r="H30" s="35" t="s">
        <v>139</v>
      </c>
      <c r="I30" s="36" t="s">
        <v>107</v>
      </c>
      <c r="K30" s="51"/>
    </row>
    <row r="31" spans="1:26" ht="14.65" customHeight="1">
      <c r="A31" s="139" t="s">
        <v>140</v>
      </c>
      <c r="B31" s="140"/>
      <c r="C31" s="52" t="s">
        <v>141</v>
      </c>
      <c r="D31" s="39">
        <v>2500000</v>
      </c>
      <c r="F31" s="139" t="s">
        <v>142</v>
      </c>
      <c r="G31" s="140"/>
      <c r="H31" s="52" t="s">
        <v>141</v>
      </c>
      <c r="I31" s="39">
        <v>2500000</v>
      </c>
      <c r="K31" s="7" t="s">
        <v>143</v>
      </c>
    </row>
    <row r="32" spans="1:26">
      <c r="A32" s="139" t="s">
        <v>144</v>
      </c>
      <c r="B32" s="140"/>
      <c r="C32" s="53">
        <v>0.2</v>
      </c>
      <c r="D32" s="39">
        <f>SUM(D31*C32)</f>
        <v>500000</v>
      </c>
      <c r="F32" s="139" t="s">
        <v>144</v>
      </c>
      <c r="G32" s="140"/>
      <c r="H32" s="53">
        <v>0.2</v>
      </c>
      <c r="I32" s="39">
        <f>SUM(I31*H32)</f>
        <v>500000</v>
      </c>
      <c r="K32" s="7" t="s">
        <v>145</v>
      </c>
    </row>
    <row r="33" spans="1:11">
      <c r="A33" s="139" t="s">
        <v>146</v>
      </c>
      <c r="B33" s="140"/>
      <c r="C33" s="53">
        <v>0.2</v>
      </c>
      <c r="D33" s="39">
        <f>SUM(D31*C33)</f>
        <v>500000</v>
      </c>
      <c r="F33" s="139" t="s">
        <v>146</v>
      </c>
      <c r="G33" s="140"/>
      <c r="H33" s="53">
        <v>0.2</v>
      </c>
      <c r="I33" s="39">
        <f>SUM(I31*H33)</f>
        <v>500000</v>
      </c>
      <c r="K33" s="7" t="s">
        <v>147</v>
      </c>
    </row>
    <row r="34" spans="1:11">
      <c r="A34" s="37" t="s">
        <v>148</v>
      </c>
      <c r="B34" s="38"/>
      <c r="C34" s="53">
        <v>0.05</v>
      </c>
      <c r="D34" s="39">
        <f>SUM(D31*C34)</f>
        <v>125000</v>
      </c>
      <c r="F34" s="37" t="s">
        <v>148</v>
      </c>
      <c r="G34" s="38"/>
      <c r="H34" s="53">
        <v>0.05</v>
      </c>
      <c r="I34" s="39">
        <f>SUM(I31*H34)</f>
        <v>125000</v>
      </c>
    </row>
    <row r="35" spans="1:11">
      <c r="A35" s="139" t="s">
        <v>149</v>
      </c>
      <c r="B35" s="140"/>
      <c r="C35" s="53">
        <v>0.5</v>
      </c>
      <c r="D35" s="39">
        <f>SUM(D31*C35)</f>
        <v>1250000</v>
      </c>
      <c r="F35" s="139" t="s">
        <v>149</v>
      </c>
      <c r="G35" s="140"/>
      <c r="H35" s="53">
        <v>0.5</v>
      </c>
      <c r="I35" s="39">
        <f>SUM(I31*H35)</f>
        <v>1250000</v>
      </c>
    </row>
    <row r="36" spans="1:11">
      <c r="A36" s="137" t="s">
        <v>134</v>
      </c>
      <c r="B36" s="138"/>
      <c r="C36" s="44"/>
      <c r="D36" s="45">
        <f>SUM(D31:D35)</f>
        <v>4875000</v>
      </c>
      <c r="F36" s="137" t="s">
        <v>134</v>
      </c>
      <c r="G36" s="138"/>
      <c r="H36" s="44"/>
      <c r="I36" s="45">
        <f>SUM(I31:I35)</f>
        <v>4875000</v>
      </c>
    </row>
    <row r="37" spans="1:11">
      <c r="K37" s="7"/>
    </row>
    <row r="38" spans="1:11">
      <c r="K38" s="7"/>
    </row>
    <row r="39" spans="1:11">
      <c r="K39" s="7"/>
    </row>
    <row r="40" spans="1:11" s="28" customFormat="1" ht="26.1">
      <c r="A40" s="28" t="s">
        <v>150</v>
      </c>
      <c r="F40" s="28" t="s">
        <v>150</v>
      </c>
      <c r="K40" s="29"/>
    </row>
    <row r="41" spans="1:11" ht="29.1">
      <c r="A41" s="33" t="s">
        <v>105</v>
      </c>
      <c r="B41" s="34"/>
      <c r="C41" s="35" t="s">
        <v>151</v>
      </c>
      <c r="D41" s="36" t="s">
        <v>107</v>
      </c>
      <c r="F41" s="33" t="s">
        <v>105</v>
      </c>
      <c r="G41" s="34"/>
      <c r="H41" s="35" t="s">
        <v>152</v>
      </c>
      <c r="I41" s="36" t="s">
        <v>107</v>
      </c>
      <c r="K41" s="7"/>
    </row>
    <row r="42" spans="1:11">
      <c r="A42" s="139" t="s">
        <v>153</v>
      </c>
      <c r="B42" s="140"/>
      <c r="C42" s="54" t="s">
        <v>154</v>
      </c>
      <c r="D42" s="39">
        <v>130000</v>
      </c>
      <c r="F42" s="139" t="s">
        <v>153</v>
      </c>
      <c r="G42" s="140"/>
      <c r="H42" s="54" t="s">
        <v>154</v>
      </c>
      <c r="I42" s="39">
        <v>130000</v>
      </c>
      <c r="K42" s="7" t="s">
        <v>155</v>
      </c>
    </row>
    <row r="43" spans="1:11" ht="14.65" customHeight="1">
      <c r="A43" s="139" t="s">
        <v>156</v>
      </c>
      <c r="B43" s="140"/>
      <c r="C43" s="55" t="s">
        <v>157</v>
      </c>
      <c r="D43" s="39">
        <v>120000</v>
      </c>
      <c r="F43" s="139" t="s">
        <v>156</v>
      </c>
      <c r="G43" s="140"/>
      <c r="H43" s="55" t="s">
        <v>157</v>
      </c>
      <c r="I43" s="39">
        <v>120000</v>
      </c>
    </row>
    <row r="44" spans="1:11">
      <c r="A44" s="137" t="s">
        <v>134</v>
      </c>
      <c r="B44" s="138"/>
      <c r="C44" s="44"/>
      <c r="D44" s="45">
        <f>SUM(D42:D43)</f>
        <v>250000</v>
      </c>
      <c r="F44" s="137" t="s">
        <v>134</v>
      </c>
      <c r="G44" s="138"/>
      <c r="H44" s="44"/>
      <c r="I44" s="45">
        <f>SUM(I42:I43)</f>
        <v>250000</v>
      </c>
    </row>
    <row r="45" spans="1:11">
      <c r="A45" s="38"/>
      <c r="B45" s="46"/>
      <c r="C45" s="47"/>
      <c r="F45" s="38"/>
      <c r="G45" s="46"/>
      <c r="H45" s="47"/>
    </row>
    <row r="46" spans="1:11">
      <c r="A46" s="38"/>
      <c r="B46" s="46"/>
      <c r="C46" s="47"/>
      <c r="F46" s="38"/>
      <c r="G46" s="46"/>
      <c r="H46" s="47"/>
    </row>
    <row r="47" spans="1:11">
      <c r="A47" s="38"/>
      <c r="B47" s="46"/>
      <c r="C47" s="47"/>
      <c r="F47" s="38"/>
      <c r="G47" s="46"/>
      <c r="H47" s="47"/>
    </row>
    <row r="48" spans="1:11" s="28" customFormat="1" ht="26.1">
      <c r="A48" s="28" t="s">
        <v>158</v>
      </c>
      <c r="F48" s="28" t="s">
        <v>159</v>
      </c>
      <c r="J48" s="29"/>
    </row>
    <row r="49" spans="1:9" ht="29.1">
      <c r="A49" s="33" t="s">
        <v>105</v>
      </c>
      <c r="B49" s="34"/>
      <c r="C49" s="35" t="s">
        <v>160</v>
      </c>
      <c r="D49" s="36" t="s">
        <v>107</v>
      </c>
      <c r="F49" s="33" t="s">
        <v>105</v>
      </c>
      <c r="G49" s="34"/>
      <c r="H49" s="35" t="s">
        <v>160</v>
      </c>
      <c r="I49" s="36" t="s">
        <v>107</v>
      </c>
    </row>
    <row r="50" spans="1:9" ht="14.65" customHeight="1">
      <c r="A50" s="139" t="s">
        <v>161</v>
      </c>
      <c r="B50" s="140"/>
      <c r="C50" s="52"/>
      <c r="D50" s="39">
        <v>200000</v>
      </c>
      <c r="F50" s="139" t="s">
        <v>161</v>
      </c>
      <c r="G50" s="140"/>
      <c r="H50" s="52"/>
      <c r="I50" s="39">
        <v>200000</v>
      </c>
    </row>
    <row r="51" spans="1:9">
      <c r="A51" s="37" t="s">
        <v>123</v>
      </c>
      <c r="B51" s="38"/>
      <c r="C51" s="53">
        <v>0.1</v>
      </c>
      <c r="D51" s="39">
        <f>SUM(C51*(D50))</f>
        <v>20000</v>
      </c>
      <c r="F51" s="139" t="s">
        <v>162</v>
      </c>
      <c r="G51" s="140"/>
      <c r="H51" s="53"/>
      <c r="I51" s="39">
        <v>100000</v>
      </c>
    </row>
    <row r="52" spans="1:9">
      <c r="A52" s="137" t="s">
        <v>134</v>
      </c>
      <c r="B52" s="138"/>
      <c r="C52" s="44"/>
      <c r="D52" s="45">
        <f>SUM(D50:D51)</f>
        <v>220000</v>
      </c>
      <c r="F52" s="37" t="s">
        <v>123</v>
      </c>
      <c r="G52" s="38"/>
      <c r="H52" s="53">
        <v>0.1</v>
      </c>
      <c r="I52" s="39" cm="1">
        <f t="array" ref="I52">SUM(H52*(I50:I51))</f>
        <v>30000</v>
      </c>
    </row>
    <row r="53" spans="1:9">
      <c r="F53" s="137" t="s">
        <v>134</v>
      </c>
      <c r="G53" s="138"/>
      <c r="H53" s="44"/>
      <c r="I53" s="45">
        <f>SUM(I50:I52)</f>
        <v>330000</v>
      </c>
    </row>
    <row r="54" spans="1:9">
      <c r="A54" s="38"/>
      <c r="B54" s="46"/>
      <c r="C54" s="47"/>
      <c r="F54" s="38"/>
      <c r="G54" s="46"/>
      <c r="H54" s="47"/>
    </row>
    <row r="55" spans="1:9">
      <c r="A55" s="38"/>
      <c r="B55" s="46"/>
      <c r="C55" s="47"/>
      <c r="F55" s="38"/>
      <c r="G55" s="46"/>
      <c r="H55" s="47"/>
    </row>
    <row r="57" spans="1:9" ht="28.35">
      <c r="A57" s="27" t="s">
        <v>163</v>
      </c>
      <c r="F57" s="27" t="s">
        <v>163</v>
      </c>
    </row>
    <row r="58" spans="1:9" ht="29.1">
      <c r="A58" s="33" t="s">
        <v>105</v>
      </c>
      <c r="B58" s="35"/>
      <c r="C58" s="34"/>
      <c r="D58" s="36" t="s">
        <v>107</v>
      </c>
      <c r="F58" s="33" t="s">
        <v>105</v>
      </c>
      <c r="G58" s="35"/>
      <c r="H58" s="34"/>
      <c r="I58" s="36" t="s">
        <v>107</v>
      </c>
    </row>
    <row r="59" spans="1:9">
      <c r="A59" s="139" t="s">
        <v>164</v>
      </c>
      <c r="B59" s="140"/>
      <c r="C59" s="140"/>
      <c r="D59" s="39">
        <f>SUM(D25)</f>
        <v>330000</v>
      </c>
      <c r="F59" s="139" t="s">
        <v>164</v>
      </c>
      <c r="G59" s="140"/>
      <c r="H59" s="140"/>
      <c r="I59" s="39">
        <f>SUM(I25)</f>
        <v>330000</v>
      </c>
    </row>
    <row r="60" spans="1:9">
      <c r="A60" s="139" t="s">
        <v>165</v>
      </c>
      <c r="B60" s="140"/>
      <c r="C60" s="140"/>
      <c r="D60" s="39">
        <f>SUM(2*D36)</f>
        <v>9750000</v>
      </c>
      <c r="F60" s="139" t="s">
        <v>166</v>
      </c>
      <c r="G60" s="140"/>
      <c r="H60" s="140"/>
      <c r="I60" s="39">
        <f>SUM(I36)</f>
        <v>4875000</v>
      </c>
    </row>
    <row r="61" spans="1:9">
      <c r="A61" s="139" t="s">
        <v>167</v>
      </c>
      <c r="B61" s="140"/>
      <c r="C61" s="140"/>
      <c r="D61" s="39">
        <f>SUM(D44)</f>
        <v>250000</v>
      </c>
      <c r="F61" s="139" t="s">
        <v>167</v>
      </c>
      <c r="G61" s="140"/>
      <c r="H61" s="140"/>
      <c r="I61" s="39">
        <f>SUM(I44)</f>
        <v>250000</v>
      </c>
    </row>
    <row r="62" spans="1:9">
      <c r="A62" s="139" t="s">
        <v>168</v>
      </c>
      <c r="B62" s="140"/>
      <c r="C62" s="140"/>
      <c r="D62" s="39">
        <f>SUM(4*D52)</f>
        <v>880000</v>
      </c>
      <c r="F62" s="139" t="s">
        <v>169</v>
      </c>
      <c r="G62" s="140"/>
      <c r="H62" s="140"/>
      <c r="I62" s="39">
        <f>SUM(I53)</f>
        <v>330000</v>
      </c>
    </row>
    <row r="63" spans="1:9">
      <c r="A63" s="137" t="s">
        <v>134</v>
      </c>
      <c r="B63" s="138"/>
      <c r="C63" s="138"/>
      <c r="D63" s="45">
        <f>SUM(D59:D62)</f>
        <v>11210000</v>
      </c>
      <c r="F63" s="137" t="s">
        <v>134</v>
      </c>
      <c r="G63" s="138"/>
      <c r="H63" s="138"/>
      <c r="I63" s="45">
        <f>SUM(I59:I62)</f>
        <v>5785000</v>
      </c>
    </row>
    <row r="67" spans="1:11" s="28" customFormat="1" ht="26.1">
      <c r="A67" s="28" t="s">
        <v>170</v>
      </c>
      <c r="F67" s="28" t="s">
        <v>170</v>
      </c>
      <c r="J67" s="29"/>
    </row>
    <row r="68" spans="1:11" ht="29.1">
      <c r="A68" s="33" t="s">
        <v>105</v>
      </c>
      <c r="B68" s="34"/>
      <c r="C68" s="35" t="s">
        <v>171</v>
      </c>
      <c r="D68" s="36" t="s">
        <v>107</v>
      </c>
      <c r="F68" s="33" t="s">
        <v>105</v>
      </c>
      <c r="G68" s="34"/>
      <c r="H68" s="35" t="s">
        <v>171</v>
      </c>
      <c r="I68" s="36" t="s">
        <v>107</v>
      </c>
    </row>
    <row r="69" spans="1:11">
      <c r="A69" s="139" t="s">
        <v>172</v>
      </c>
      <c r="B69" s="140"/>
      <c r="C69" s="39">
        <v>45</v>
      </c>
      <c r="D69" s="39">
        <f>SUM(C69)*C70</f>
        <v>45000</v>
      </c>
      <c r="F69" s="139" t="s">
        <v>172</v>
      </c>
      <c r="G69" s="140"/>
      <c r="H69" s="39">
        <v>45</v>
      </c>
      <c r="I69" s="39">
        <f>SUM(H69)*H70</f>
        <v>45000</v>
      </c>
    </row>
    <row r="70" spans="1:11">
      <c r="A70" s="141" t="s">
        <v>130</v>
      </c>
      <c r="B70" s="142"/>
      <c r="C70" s="56">
        <v>1000</v>
      </c>
      <c r="D70" s="39"/>
      <c r="F70" s="141" t="s">
        <v>130</v>
      </c>
      <c r="G70" s="142"/>
      <c r="H70" s="56">
        <v>1000</v>
      </c>
      <c r="I70" s="39"/>
    </row>
    <row r="71" spans="1:11">
      <c r="A71" s="137" t="s">
        <v>134</v>
      </c>
      <c r="B71" s="138"/>
      <c r="C71" s="44"/>
      <c r="D71" s="45">
        <f>SUM(D69:D69)</f>
        <v>45000</v>
      </c>
      <c r="F71" s="137" t="s">
        <v>134</v>
      </c>
      <c r="G71" s="138"/>
      <c r="H71" s="44"/>
      <c r="I71" s="45">
        <f>SUM(I69:I69)</f>
        <v>45000</v>
      </c>
    </row>
    <row r="72" spans="1:11">
      <c r="A72" s="38"/>
      <c r="B72" s="46"/>
      <c r="C72" s="47"/>
      <c r="F72" s="38"/>
      <c r="G72" s="46"/>
      <c r="H72" s="47"/>
    </row>
    <row r="73" spans="1:11">
      <c r="A73" s="38"/>
      <c r="B73" s="46"/>
      <c r="C73" s="47"/>
      <c r="F73" s="38"/>
      <c r="G73" s="46"/>
      <c r="H73" s="47"/>
    </row>
    <row r="75" spans="1:11" s="28" customFormat="1" ht="26.1">
      <c r="A75" s="28" t="s">
        <v>173</v>
      </c>
      <c r="F75" s="28" t="s">
        <v>174</v>
      </c>
      <c r="J75" s="29"/>
    </row>
    <row r="76" spans="1:11" ht="29.1">
      <c r="A76" s="33" t="s">
        <v>105</v>
      </c>
      <c r="B76" s="34"/>
      <c r="C76" s="35" t="s">
        <v>151</v>
      </c>
      <c r="D76" s="36" t="s">
        <v>107</v>
      </c>
      <c r="F76" s="33" t="s">
        <v>105</v>
      </c>
      <c r="G76" s="34"/>
      <c r="H76" s="35" t="s">
        <v>139</v>
      </c>
      <c r="I76" s="36" t="s">
        <v>107</v>
      </c>
    </row>
    <row r="77" spans="1:11">
      <c r="A77" s="146" t="s">
        <v>175</v>
      </c>
      <c r="B77" s="147"/>
      <c r="C77" s="83" t="s">
        <v>176</v>
      </c>
      <c r="D77" s="39">
        <f>SUM((1210*8760*H7/1000)+0)</f>
        <v>1589940</v>
      </c>
      <c r="F77" s="146" t="s">
        <v>177</v>
      </c>
      <c r="G77" s="147"/>
      <c r="H77" s="7" t="s">
        <v>178</v>
      </c>
      <c r="I77" s="39">
        <f>SUM(1080*8760*H7/1000)</f>
        <v>1419120</v>
      </c>
    </row>
    <row r="78" spans="1:11">
      <c r="A78" s="57" t="s">
        <v>179</v>
      </c>
      <c r="B78" s="58"/>
      <c r="C78" s="83" t="s">
        <v>180</v>
      </c>
      <c r="D78" s="39">
        <f>SUM((1409*8760*H7/1000)+0)</f>
        <v>1851426</v>
      </c>
      <c r="F78" s="139" t="s">
        <v>181</v>
      </c>
      <c r="G78" s="140"/>
      <c r="H78" s="7" t="s">
        <v>182</v>
      </c>
      <c r="I78" s="39">
        <v>80000</v>
      </c>
      <c r="K78" s="7" t="s">
        <v>183</v>
      </c>
    </row>
    <row r="79" spans="1:11">
      <c r="A79" s="139" t="s">
        <v>181</v>
      </c>
      <c r="B79" s="140"/>
      <c r="C79" s="82"/>
      <c r="D79" s="39">
        <v>80000</v>
      </c>
      <c r="F79" s="139" t="s">
        <v>184</v>
      </c>
      <c r="G79" s="140"/>
      <c r="H79" s="54" t="s">
        <v>185</v>
      </c>
      <c r="I79" s="39">
        <v>20000</v>
      </c>
      <c r="K79" s="7" t="s">
        <v>186</v>
      </c>
    </row>
    <row r="80" spans="1:11" ht="14.65" customHeight="1">
      <c r="A80" s="139" t="s">
        <v>184</v>
      </c>
      <c r="B80" s="140"/>
      <c r="C80" s="54"/>
      <c r="D80" s="39">
        <v>20000</v>
      </c>
      <c r="F80" s="139" t="s">
        <v>187</v>
      </c>
      <c r="G80" s="140"/>
      <c r="H80" s="55" t="s">
        <v>188</v>
      </c>
      <c r="I80" s="39">
        <v>15000</v>
      </c>
    </row>
    <row r="81" spans="1:10">
      <c r="A81" s="139" t="s">
        <v>187</v>
      </c>
      <c r="B81" s="140"/>
      <c r="C81" s="55"/>
      <c r="D81" s="39">
        <v>15000</v>
      </c>
      <c r="F81" s="137" t="s">
        <v>134</v>
      </c>
      <c r="G81" s="138"/>
      <c r="H81" s="44"/>
      <c r="I81" s="45">
        <f>SUM(I77:I80)</f>
        <v>1534120</v>
      </c>
    </row>
    <row r="82" spans="1:10">
      <c r="A82" s="137" t="s">
        <v>134</v>
      </c>
      <c r="B82" s="138"/>
      <c r="C82" s="44"/>
      <c r="D82" s="45">
        <f>SUM(D77:D81)</f>
        <v>3556366</v>
      </c>
    </row>
    <row r="83" spans="1:10">
      <c r="A83" s="38"/>
      <c r="B83" s="38"/>
      <c r="C83" s="46"/>
      <c r="D83" s="47"/>
      <c r="F83" s="38"/>
      <c r="G83" s="38"/>
      <c r="H83" s="46"/>
      <c r="I83" s="47"/>
    </row>
    <row r="84" spans="1:10">
      <c r="A84" s="38"/>
      <c r="B84" s="46"/>
      <c r="C84" s="47"/>
      <c r="F84" s="38"/>
      <c r="G84" s="46"/>
      <c r="H84" s="47"/>
    </row>
    <row r="86" spans="1:10" s="28" customFormat="1" ht="26.1">
      <c r="A86" s="28" t="s">
        <v>189</v>
      </c>
      <c r="F86" s="28" t="s">
        <v>189</v>
      </c>
      <c r="J86" s="29"/>
    </row>
    <row r="87" spans="1:10" ht="29.1">
      <c r="A87" s="33" t="s">
        <v>105</v>
      </c>
      <c r="B87" s="34"/>
      <c r="C87" s="35"/>
      <c r="D87" s="36" t="s">
        <v>107</v>
      </c>
      <c r="F87" s="33" t="s">
        <v>105</v>
      </c>
      <c r="G87" s="34"/>
      <c r="H87" s="35"/>
      <c r="I87" s="36" t="s">
        <v>107</v>
      </c>
    </row>
    <row r="88" spans="1:10">
      <c r="A88" s="139" t="s">
        <v>190</v>
      </c>
      <c r="B88" s="140"/>
      <c r="C88" s="52"/>
      <c r="D88" s="39">
        <v>5000</v>
      </c>
      <c r="F88" s="139" t="s">
        <v>190</v>
      </c>
      <c r="G88" s="140"/>
      <c r="H88" s="52"/>
      <c r="I88" s="39">
        <v>5000</v>
      </c>
    </row>
    <row r="89" spans="1:10">
      <c r="A89" s="137" t="s">
        <v>134</v>
      </c>
      <c r="B89" s="138"/>
      <c r="C89" s="44"/>
      <c r="D89" s="45">
        <f>SUM(D88:D88)</f>
        <v>5000</v>
      </c>
      <c r="F89" s="137" t="s">
        <v>134</v>
      </c>
      <c r="G89" s="138"/>
      <c r="H89" s="44"/>
      <c r="I89" s="45">
        <f>SUM(I88:I88)</f>
        <v>5000</v>
      </c>
    </row>
    <row r="93" spans="1:10" s="28" customFormat="1" ht="26.1">
      <c r="A93" s="28" t="s">
        <v>191</v>
      </c>
      <c r="F93" s="28" t="s">
        <v>191</v>
      </c>
      <c r="J93" s="29"/>
    </row>
    <row r="94" spans="1:10" ht="29.1">
      <c r="A94" s="33" t="s">
        <v>105</v>
      </c>
      <c r="B94" s="34"/>
      <c r="C94" s="35"/>
      <c r="D94" s="36" t="s">
        <v>107</v>
      </c>
      <c r="F94" s="33" t="s">
        <v>105</v>
      </c>
      <c r="G94" s="34"/>
      <c r="H94" s="35"/>
      <c r="I94" s="36" t="s">
        <v>107</v>
      </c>
    </row>
    <row r="95" spans="1:10" ht="14.65" customHeight="1">
      <c r="A95" s="139" t="s">
        <v>181</v>
      </c>
      <c r="B95" s="140"/>
      <c r="C95" s="55"/>
      <c r="D95" s="39">
        <v>10000</v>
      </c>
      <c r="F95" s="139" t="s">
        <v>192</v>
      </c>
      <c r="G95" s="140"/>
      <c r="H95" s="55"/>
      <c r="I95" s="39">
        <v>15000</v>
      </c>
    </row>
    <row r="96" spans="1:10">
      <c r="A96" s="137" t="s">
        <v>134</v>
      </c>
      <c r="B96" s="138"/>
      <c r="C96" s="44"/>
      <c r="D96" s="45">
        <f>SUM(D95:D95)</f>
        <v>10000</v>
      </c>
      <c r="F96" s="137" t="s">
        <v>134</v>
      </c>
      <c r="G96" s="138"/>
      <c r="H96" s="44"/>
      <c r="I96" s="45">
        <f>SUM(I95:I95)</f>
        <v>15000</v>
      </c>
    </row>
    <row r="100" spans="1:9" ht="28.35">
      <c r="A100" s="27" t="s">
        <v>193</v>
      </c>
      <c r="F100" s="27" t="s">
        <v>193</v>
      </c>
    </row>
    <row r="101" spans="1:9" ht="29.1">
      <c r="A101" s="33" t="s">
        <v>105</v>
      </c>
      <c r="B101" s="34"/>
      <c r="C101" s="35"/>
      <c r="D101" s="36" t="s">
        <v>107</v>
      </c>
      <c r="F101" s="33" t="s">
        <v>105</v>
      </c>
      <c r="G101" s="34"/>
      <c r="H101" s="35"/>
      <c r="I101" s="36" t="s">
        <v>107</v>
      </c>
    </row>
    <row r="102" spans="1:9">
      <c r="A102" s="139" t="s">
        <v>194</v>
      </c>
      <c r="B102" s="140"/>
      <c r="C102" s="46"/>
      <c r="D102" s="39">
        <f>SUM(D71)</f>
        <v>45000</v>
      </c>
      <c r="F102" s="139" t="s">
        <v>194</v>
      </c>
      <c r="G102" s="140"/>
      <c r="H102" s="46"/>
      <c r="I102" s="39">
        <f>SUM(I71)</f>
        <v>45000</v>
      </c>
    </row>
    <row r="103" spans="1:9">
      <c r="A103" s="139" t="s">
        <v>195</v>
      </c>
      <c r="B103" s="140"/>
      <c r="C103" s="140"/>
      <c r="D103" s="39">
        <f>SUM(D82)</f>
        <v>3556366</v>
      </c>
      <c r="F103" s="139" t="s">
        <v>196</v>
      </c>
      <c r="G103" s="140"/>
      <c r="H103" s="140"/>
      <c r="I103" s="39">
        <f>SUM(I81)</f>
        <v>1534120</v>
      </c>
    </row>
    <row r="104" spans="1:9">
      <c r="A104" s="139" t="s">
        <v>197</v>
      </c>
      <c r="B104" s="140"/>
      <c r="C104" s="53"/>
      <c r="D104" s="39">
        <f>SUM(D89)</f>
        <v>5000</v>
      </c>
      <c r="F104" s="139" t="s">
        <v>197</v>
      </c>
      <c r="G104" s="140"/>
      <c r="H104" s="53"/>
      <c r="I104" s="39">
        <f>SUM(I89)</f>
        <v>5000</v>
      </c>
    </row>
    <row r="105" spans="1:9">
      <c r="A105" s="139" t="s">
        <v>198</v>
      </c>
      <c r="B105" s="140"/>
      <c r="C105" s="140"/>
      <c r="D105" s="39">
        <f>SUM(D96)</f>
        <v>10000</v>
      </c>
      <c r="F105" s="139" t="s">
        <v>199</v>
      </c>
      <c r="G105" s="140"/>
      <c r="H105" s="140"/>
      <c r="I105" s="39">
        <f>SUM(I96)</f>
        <v>15000</v>
      </c>
    </row>
    <row r="106" spans="1:9">
      <c r="A106" s="137" t="s">
        <v>134</v>
      </c>
      <c r="B106" s="138"/>
      <c r="C106" s="44"/>
      <c r="D106" s="45">
        <f>SUM(D102:D104)</f>
        <v>3606366</v>
      </c>
      <c r="F106" s="137" t="s">
        <v>134</v>
      </c>
      <c r="G106" s="138"/>
      <c r="H106" s="44"/>
      <c r="I106" s="45">
        <f>SUM(I102:I104)</f>
        <v>1584120</v>
      </c>
    </row>
    <row r="110" spans="1:9" ht="28.35">
      <c r="A110" s="27" t="s">
        <v>200</v>
      </c>
    </row>
    <row r="111" spans="1:9">
      <c r="A111" s="7" t="s">
        <v>201</v>
      </c>
    </row>
    <row r="112" spans="1:9">
      <c r="A112" s="7"/>
    </row>
    <row r="113" spans="1:13" s="62" customFormat="1">
      <c r="A113" s="59"/>
      <c r="B113" s="60"/>
      <c r="C113" s="60" t="s">
        <v>202</v>
      </c>
      <c r="D113" s="60" t="s">
        <v>203</v>
      </c>
      <c r="E113" s="60" t="s">
        <v>204</v>
      </c>
      <c r="F113" s="60" t="s">
        <v>205</v>
      </c>
      <c r="G113" s="60" t="s">
        <v>206</v>
      </c>
      <c r="H113" s="60" t="s">
        <v>207</v>
      </c>
      <c r="I113" s="60" t="s">
        <v>208</v>
      </c>
      <c r="J113" s="60" t="s">
        <v>209</v>
      </c>
      <c r="K113" s="60" t="s">
        <v>210</v>
      </c>
      <c r="L113" s="60" t="s">
        <v>211</v>
      </c>
      <c r="M113" s="61" t="s">
        <v>212</v>
      </c>
    </row>
    <row r="114" spans="1:13" s="58" customFormat="1">
      <c r="A114" s="15" t="s">
        <v>213</v>
      </c>
      <c r="B114" s="63"/>
      <c r="C114" s="63"/>
      <c r="D114" s="63">
        <f>SUM(D115:D121)</f>
        <v>776743.44512000051</v>
      </c>
      <c r="E114" s="63">
        <f t="shared" ref="E114:M122" si="0">D114</f>
        <v>776743.44512000051</v>
      </c>
      <c r="F114" s="63">
        <f t="shared" si="0"/>
        <v>776743.44512000051</v>
      </c>
      <c r="G114" s="63">
        <f t="shared" si="0"/>
        <v>776743.44512000051</v>
      </c>
      <c r="H114" s="63">
        <f t="shared" si="0"/>
        <v>776743.44512000051</v>
      </c>
      <c r="I114" s="63">
        <f t="shared" si="0"/>
        <v>776743.44512000051</v>
      </c>
      <c r="J114" s="63">
        <f t="shared" si="0"/>
        <v>776743.44512000051</v>
      </c>
      <c r="K114" s="63">
        <f t="shared" si="0"/>
        <v>776743.44512000051</v>
      </c>
      <c r="L114" s="63">
        <f t="shared" si="0"/>
        <v>776743.44512000051</v>
      </c>
      <c r="M114" s="64">
        <f t="shared" si="0"/>
        <v>776743.44512000051</v>
      </c>
    </row>
    <row r="115" spans="1:13">
      <c r="A115" s="65" t="s">
        <v>164</v>
      </c>
      <c r="D115" s="66">
        <f>-SUM(D71)</f>
        <v>-45000</v>
      </c>
      <c r="E115" s="66">
        <f t="shared" si="0"/>
        <v>-45000</v>
      </c>
      <c r="F115" s="66">
        <f t="shared" si="0"/>
        <v>-45000</v>
      </c>
      <c r="G115" s="66">
        <f t="shared" si="0"/>
        <v>-45000</v>
      </c>
      <c r="H115" s="66">
        <f t="shared" si="0"/>
        <v>-45000</v>
      </c>
      <c r="I115" s="66">
        <f t="shared" si="0"/>
        <v>-45000</v>
      </c>
      <c r="J115" s="66">
        <f t="shared" si="0"/>
        <v>-45000</v>
      </c>
      <c r="K115" s="66">
        <f t="shared" si="0"/>
        <v>-45000</v>
      </c>
      <c r="L115" s="66">
        <f t="shared" si="0"/>
        <v>-45000</v>
      </c>
      <c r="M115" s="67">
        <f t="shared" si="0"/>
        <v>-45000</v>
      </c>
    </row>
    <row r="116" spans="1:13">
      <c r="A116" s="65" t="s">
        <v>214</v>
      </c>
      <c r="D116" s="66">
        <f>-SUM(D79:D81)</f>
        <v>-115000</v>
      </c>
      <c r="E116" s="66">
        <f t="shared" si="0"/>
        <v>-115000</v>
      </c>
      <c r="F116" s="66">
        <f t="shared" si="0"/>
        <v>-115000</v>
      </c>
      <c r="G116" s="66">
        <f t="shared" si="0"/>
        <v>-115000</v>
      </c>
      <c r="H116" s="66">
        <f t="shared" si="0"/>
        <v>-115000</v>
      </c>
      <c r="I116" s="66">
        <f t="shared" si="0"/>
        <v>-115000</v>
      </c>
      <c r="J116" s="66">
        <f t="shared" si="0"/>
        <v>-115000</v>
      </c>
      <c r="K116" s="66">
        <f t="shared" si="0"/>
        <v>-115000</v>
      </c>
      <c r="L116" s="66">
        <f t="shared" si="0"/>
        <v>-115000</v>
      </c>
      <c r="M116" s="67">
        <f t="shared" si="0"/>
        <v>-115000</v>
      </c>
    </row>
    <row r="117" spans="1:13">
      <c r="A117" s="65" t="s">
        <v>197</v>
      </c>
      <c r="D117" s="66">
        <f>-SUM(D89)</f>
        <v>-5000</v>
      </c>
      <c r="E117" s="66">
        <f t="shared" si="0"/>
        <v>-5000</v>
      </c>
      <c r="F117" s="66">
        <f t="shared" si="0"/>
        <v>-5000</v>
      </c>
      <c r="G117" s="66">
        <f t="shared" si="0"/>
        <v>-5000</v>
      </c>
      <c r="H117" s="66">
        <f t="shared" si="0"/>
        <v>-5000</v>
      </c>
      <c r="I117" s="66">
        <f t="shared" si="0"/>
        <v>-5000</v>
      </c>
      <c r="J117" s="66">
        <f t="shared" si="0"/>
        <v>-5000</v>
      </c>
      <c r="K117" s="66">
        <f t="shared" si="0"/>
        <v>-5000</v>
      </c>
      <c r="L117" s="66">
        <f t="shared" si="0"/>
        <v>-5000</v>
      </c>
      <c r="M117" s="67">
        <f t="shared" si="0"/>
        <v>-5000</v>
      </c>
    </row>
    <row r="118" spans="1:13">
      <c r="A118" s="65" t="s">
        <v>215</v>
      </c>
      <c r="D118" s="66">
        <f>-SUM(D95)</f>
        <v>-10000</v>
      </c>
      <c r="E118" s="66">
        <f t="shared" si="0"/>
        <v>-10000</v>
      </c>
      <c r="F118" s="66">
        <f t="shared" si="0"/>
        <v>-10000</v>
      </c>
      <c r="G118" s="66">
        <f t="shared" si="0"/>
        <v>-10000</v>
      </c>
      <c r="H118" s="66">
        <f t="shared" si="0"/>
        <v>-10000</v>
      </c>
      <c r="I118" s="66">
        <f t="shared" si="0"/>
        <v>-10000</v>
      </c>
      <c r="J118" s="66">
        <f t="shared" si="0"/>
        <v>-10000</v>
      </c>
      <c r="K118" s="66">
        <f t="shared" si="0"/>
        <v>-10000</v>
      </c>
      <c r="L118" s="66">
        <f t="shared" si="0"/>
        <v>-10000</v>
      </c>
      <c r="M118" s="67">
        <f t="shared" si="0"/>
        <v>-10000</v>
      </c>
    </row>
    <row r="119" spans="1:13">
      <c r="A119" s="65" t="s">
        <v>216</v>
      </c>
      <c r="D119" s="66">
        <f>-SUM(D77+D78)</f>
        <v>-3441366</v>
      </c>
      <c r="E119" s="66">
        <f>D119</f>
        <v>-3441366</v>
      </c>
      <c r="F119" s="66">
        <f t="shared" si="0"/>
        <v>-3441366</v>
      </c>
      <c r="G119" s="66">
        <f t="shared" si="0"/>
        <v>-3441366</v>
      </c>
      <c r="H119" s="66">
        <f t="shared" si="0"/>
        <v>-3441366</v>
      </c>
      <c r="I119" s="66">
        <f t="shared" si="0"/>
        <v>-3441366</v>
      </c>
      <c r="J119" s="66">
        <f t="shared" si="0"/>
        <v>-3441366</v>
      </c>
      <c r="K119" s="66">
        <f t="shared" si="0"/>
        <v>-3441366</v>
      </c>
      <c r="L119" s="66">
        <f t="shared" si="0"/>
        <v>-3441366</v>
      </c>
      <c r="M119" s="67">
        <f t="shared" si="0"/>
        <v>-3441366</v>
      </c>
    </row>
    <row r="120" spans="1:13">
      <c r="A120" s="65" t="s">
        <v>217</v>
      </c>
      <c r="D120" s="66">
        <f>SUM(D122*H8)</f>
        <v>4204379.5200000005</v>
      </c>
      <c r="E120" s="66">
        <f t="shared" si="0"/>
        <v>4204379.5200000005</v>
      </c>
      <c r="F120" s="66">
        <f t="shared" si="0"/>
        <v>4204379.5200000005</v>
      </c>
      <c r="G120" s="66">
        <f t="shared" si="0"/>
        <v>4204379.5200000005</v>
      </c>
      <c r="H120" s="66">
        <f t="shared" si="0"/>
        <v>4204379.5200000005</v>
      </c>
      <c r="I120" s="66">
        <f t="shared" si="0"/>
        <v>4204379.5200000005</v>
      </c>
      <c r="J120" s="66">
        <f t="shared" si="0"/>
        <v>4204379.5200000005</v>
      </c>
      <c r="K120" s="66">
        <f t="shared" si="0"/>
        <v>4204379.5200000005</v>
      </c>
      <c r="L120" s="66">
        <f t="shared" si="0"/>
        <v>4204379.5200000005</v>
      </c>
      <c r="M120" s="67">
        <f t="shared" si="0"/>
        <v>4204379.5200000005</v>
      </c>
    </row>
    <row r="121" spans="1:13">
      <c r="A121" s="65" t="s">
        <v>218</v>
      </c>
      <c r="C121" s="72"/>
      <c r="D121" s="72">
        <f>SUM(H9*D123)</f>
        <v>188729.92512000003</v>
      </c>
      <c r="E121" s="72">
        <f>D121</f>
        <v>188729.92512000003</v>
      </c>
      <c r="F121" s="72">
        <f t="shared" si="0"/>
        <v>188729.92512000003</v>
      </c>
      <c r="G121" s="72">
        <f t="shared" si="0"/>
        <v>188729.92512000003</v>
      </c>
      <c r="H121" s="72">
        <f t="shared" si="0"/>
        <v>188729.92512000003</v>
      </c>
      <c r="I121" s="72">
        <f t="shared" si="0"/>
        <v>188729.92512000003</v>
      </c>
      <c r="J121" s="72">
        <f t="shared" si="0"/>
        <v>188729.92512000003</v>
      </c>
      <c r="K121" s="72">
        <f t="shared" si="0"/>
        <v>188729.92512000003</v>
      </c>
      <c r="L121" s="72">
        <f t="shared" si="0"/>
        <v>188729.92512000003</v>
      </c>
      <c r="M121" s="73">
        <f t="shared" si="0"/>
        <v>188729.92512000003</v>
      </c>
    </row>
    <row r="122" spans="1:13">
      <c r="A122" s="68" t="s">
        <v>219</v>
      </c>
      <c r="B122" s="69"/>
      <c r="C122" s="69"/>
      <c r="D122" s="70">
        <f>SUM(1111*8760*8/1000)</f>
        <v>77858.880000000005</v>
      </c>
      <c r="E122" s="70">
        <f t="shared" si="0"/>
        <v>77858.880000000005</v>
      </c>
      <c r="F122" s="70">
        <f t="shared" si="0"/>
        <v>77858.880000000005</v>
      </c>
      <c r="G122" s="70">
        <f t="shared" si="0"/>
        <v>77858.880000000005</v>
      </c>
      <c r="H122" s="70">
        <f t="shared" si="0"/>
        <v>77858.880000000005</v>
      </c>
      <c r="I122" s="70">
        <f t="shared" si="0"/>
        <v>77858.880000000005</v>
      </c>
      <c r="J122" s="70">
        <f t="shared" si="0"/>
        <v>77858.880000000005</v>
      </c>
      <c r="K122" s="70">
        <f t="shared" si="0"/>
        <v>77858.880000000005</v>
      </c>
      <c r="L122" s="70">
        <f t="shared" si="0"/>
        <v>77858.880000000005</v>
      </c>
      <c r="M122" s="71">
        <f t="shared" si="0"/>
        <v>77858.880000000005</v>
      </c>
    </row>
    <row r="123" spans="1:13">
      <c r="A123" s="68" t="s">
        <v>220</v>
      </c>
      <c r="B123" s="69"/>
      <c r="C123" s="69"/>
      <c r="D123" s="70">
        <f>SUM(D122*0.202)</f>
        <v>15727.493760000001</v>
      </c>
      <c r="E123" s="70">
        <f t="shared" ref="E123:M123" si="1">SUM(E122*0.202)</f>
        <v>15727.493760000001</v>
      </c>
      <c r="F123" s="70">
        <f t="shared" si="1"/>
        <v>15727.493760000001</v>
      </c>
      <c r="G123" s="70">
        <f t="shared" si="1"/>
        <v>15727.493760000001</v>
      </c>
      <c r="H123" s="70">
        <f t="shared" si="1"/>
        <v>15727.493760000001</v>
      </c>
      <c r="I123" s="70">
        <f t="shared" si="1"/>
        <v>15727.493760000001</v>
      </c>
      <c r="J123" s="70">
        <f t="shared" si="1"/>
        <v>15727.493760000001</v>
      </c>
      <c r="K123" s="70">
        <f t="shared" si="1"/>
        <v>15727.493760000001</v>
      </c>
      <c r="L123" s="70">
        <f t="shared" si="1"/>
        <v>15727.493760000001</v>
      </c>
      <c r="M123" s="71">
        <f t="shared" si="1"/>
        <v>15727.493760000001</v>
      </c>
    </row>
    <row r="124" spans="1:13" s="58" customFormat="1">
      <c r="A124" s="15" t="s">
        <v>221</v>
      </c>
      <c r="B124" s="63"/>
      <c r="C124" s="63">
        <f>SUM(C125:C128)</f>
        <v>-10550000</v>
      </c>
      <c r="D124" s="63">
        <v>0</v>
      </c>
      <c r="E124" s="63">
        <v>0</v>
      </c>
      <c r="F124" s="63">
        <v>0</v>
      </c>
      <c r="G124" s="63">
        <v>0</v>
      </c>
      <c r="H124" s="63">
        <v>0</v>
      </c>
      <c r="I124" s="63">
        <v>0</v>
      </c>
      <c r="J124" s="63">
        <v>0</v>
      </c>
      <c r="K124" s="63">
        <v>0</v>
      </c>
      <c r="L124" s="63">
        <v>0</v>
      </c>
      <c r="M124" s="64">
        <v>0</v>
      </c>
    </row>
    <row r="125" spans="1:13">
      <c r="A125" s="65" t="s">
        <v>164</v>
      </c>
      <c r="C125" s="66">
        <f>-SUM(D59)</f>
        <v>-330000</v>
      </c>
      <c r="D125" s="72"/>
      <c r="E125" s="72"/>
      <c r="F125" s="72"/>
      <c r="G125" s="72"/>
      <c r="H125" s="72"/>
      <c r="I125" s="72"/>
      <c r="J125" s="72"/>
      <c r="K125" s="72"/>
      <c r="L125" s="72"/>
      <c r="M125" s="73"/>
    </row>
    <row r="126" spans="1:13">
      <c r="A126" s="65" t="s">
        <v>222</v>
      </c>
      <c r="C126" s="66">
        <f>-SUM(D60)</f>
        <v>-9750000</v>
      </c>
      <c r="D126" s="72"/>
      <c r="E126" s="72"/>
      <c r="F126" s="72"/>
      <c r="G126" s="72"/>
      <c r="H126" s="72"/>
      <c r="I126" s="72"/>
      <c r="J126" s="72"/>
      <c r="K126" s="72"/>
      <c r="L126" s="72"/>
      <c r="M126" s="73"/>
    </row>
    <row r="127" spans="1:13">
      <c r="A127" s="65" t="s">
        <v>167</v>
      </c>
      <c r="C127" s="66">
        <f>-SUM(D61)</f>
        <v>-250000</v>
      </c>
      <c r="D127" s="72"/>
      <c r="E127" s="72"/>
      <c r="F127" s="72"/>
      <c r="G127" s="72"/>
      <c r="H127" s="72"/>
      <c r="I127" s="72"/>
      <c r="J127" s="72"/>
      <c r="K127" s="72"/>
      <c r="L127" s="72"/>
      <c r="M127" s="73"/>
    </row>
    <row r="128" spans="1:13">
      <c r="A128" s="65" t="s">
        <v>223</v>
      </c>
      <c r="C128" s="66">
        <f>-SUM(D52)</f>
        <v>-220000</v>
      </c>
      <c r="D128" s="72"/>
      <c r="E128" s="72"/>
      <c r="F128" s="72"/>
      <c r="G128" s="72"/>
      <c r="H128" s="72"/>
      <c r="I128" s="72"/>
      <c r="J128" s="72"/>
      <c r="K128" s="72"/>
      <c r="L128" s="72"/>
      <c r="M128" s="73"/>
    </row>
    <row r="129" spans="1:13" s="58" customFormat="1">
      <c r="A129" s="15" t="s">
        <v>224</v>
      </c>
      <c r="B129" s="74"/>
      <c r="C129" s="63">
        <f>SUM(C130)</f>
        <v>-3165000</v>
      </c>
      <c r="D129" s="63">
        <f>SUM(D130:D131)</f>
        <v>0</v>
      </c>
      <c r="E129" s="63">
        <f t="shared" ref="E129:M129" si="2">SUM(E130:E131)</f>
        <v>0</v>
      </c>
      <c r="F129" s="63">
        <f t="shared" si="2"/>
        <v>0</v>
      </c>
      <c r="G129" s="63">
        <f t="shared" si="2"/>
        <v>0</v>
      </c>
      <c r="H129" s="63">
        <f t="shared" si="2"/>
        <v>0</v>
      </c>
      <c r="I129" s="63">
        <f t="shared" si="2"/>
        <v>0</v>
      </c>
      <c r="J129" s="63">
        <f t="shared" si="2"/>
        <v>0</v>
      </c>
      <c r="K129" s="63">
        <f t="shared" si="2"/>
        <v>0</v>
      </c>
      <c r="L129" s="63">
        <f t="shared" si="2"/>
        <v>0</v>
      </c>
      <c r="M129" s="64">
        <f t="shared" si="2"/>
        <v>0</v>
      </c>
    </row>
    <row r="130" spans="1:13">
      <c r="A130" s="65" t="s">
        <v>225</v>
      </c>
      <c r="C130" s="72">
        <f>SUM(C124*H10)</f>
        <v>-3165000</v>
      </c>
      <c r="E130" s="72"/>
      <c r="F130" s="72"/>
      <c r="G130" s="72"/>
      <c r="H130" s="72"/>
      <c r="I130" s="72"/>
      <c r="J130" s="72"/>
      <c r="K130" s="72"/>
      <c r="L130" s="72"/>
      <c r="M130" s="73"/>
    </row>
    <row r="131" spans="1:13">
      <c r="A131" s="65" t="s">
        <v>226</v>
      </c>
      <c r="C131" s="72"/>
      <c r="D131" s="72">
        <f>SUM(H11*D123)</f>
        <v>0</v>
      </c>
      <c r="E131" s="72">
        <f>D131</f>
        <v>0</v>
      </c>
      <c r="F131" s="72">
        <f t="shared" ref="F131:M131" si="3">E131</f>
        <v>0</v>
      </c>
      <c r="G131" s="72">
        <f t="shared" si="3"/>
        <v>0</v>
      </c>
      <c r="H131" s="72">
        <f t="shared" si="3"/>
        <v>0</v>
      </c>
      <c r="I131" s="72">
        <f t="shared" si="3"/>
        <v>0</v>
      </c>
      <c r="J131" s="72">
        <f t="shared" si="3"/>
        <v>0</v>
      </c>
      <c r="K131" s="72">
        <f t="shared" si="3"/>
        <v>0</v>
      </c>
      <c r="L131" s="72">
        <f t="shared" si="3"/>
        <v>0</v>
      </c>
      <c r="M131" s="73">
        <f t="shared" si="3"/>
        <v>0</v>
      </c>
    </row>
    <row r="132" spans="1:13">
      <c r="A132" s="15" t="s">
        <v>227</v>
      </c>
      <c r="B132" s="9"/>
      <c r="C132" s="75">
        <f>SUM(C124-C130)</f>
        <v>-7385000</v>
      </c>
      <c r="D132" s="75">
        <f t="shared" ref="D132:M132" si="4">SUM(D124+D114+D129)</f>
        <v>776743.44512000051</v>
      </c>
      <c r="E132" s="75">
        <f t="shared" si="4"/>
        <v>776743.44512000051</v>
      </c>
      <c r="F132" s="75">
        <f t="shared" si="4"/>
        <v>776743.44512000051</v>
      </c>
      <c r="G132" s="75">
        <f t="shared" si="4"/>
        <v>776743.44512000051</v>
      </c>
      <c r="H132" s="75">
        <f t="shared" si="4"/>
        <v>776743.44512000051</v>
      </c>
      <c r="I132" s="75">
        <f t="shared" si="4"/>
        <v>776743.44512000051</v>
      </c>
      <c r="J132" s="75">
        <f t="shared" si="4"/>
        <v>776743.44512000051</v>
      </c>
      <c r="K132" s="75">
        <f t="shared" si="4"/>
        <v>776743.44512000051</v>
      </c>
      <c r="L132" s="75">
        <f t="shared" si="4"/>
        <v>776743.44512000051</v>
      </c>
      <c r="M132" s="76">
        <f t="shared" si="4"/>
        <v>776743.44512000051</v>
      </c>
    </row>
    <row r="133" spans="1:13">
      <c r="A133" s="18" t="s">
        <v>228</v>
      </c>
      <c r="B133" s="23"/>
      <c r="C133" s="77">
        <f>SUM(C132)</f>
        <v>-7385000</v>
      </c>
      <c r="D133" s="77">
        <f>SUM(C133+D132)</f>
        <v>-6608256.5548799997</v>
      </c>
      <c r="E133" s="77">
        <f t="shared" ref="E133:M133" si="5">SUM(D133+E132)</f>
        <v>-5831513.1097599994</v>
      </c>
      <c r="F133" s="77">
        <f t="shared" si="5"/>
        <v>-5054769.6646399992</v>
      </c>
      <c r="G133" s="77">
        <f t="shared" si="5"/>
        <v>-4278026.2195199989</v>
      </c>
      <c r="H133" s="77">
        <f t="shared" si="5"/>
        <v>-3501282.7743999986</v>
      </c>
      <c r="I133" s="77">
        <f t="shared" si="5"/>
        <v>-2724539.3292799983</v>
      </c>
      <c r="J133" s="77">
        <f t="shared" si="5"/>
        <v>-1947795.8841599978</v>
      </c>
      <c r="K133" s="77">
        <f t="shared" si="5"/>
        <v>-1171052.4390399973</v>
      </c>
      <c r="L133" s="77">
        <f t="shared" si="5"/>
        <v>-394308.99391999678</v>
      </c>
      <c r="M133" s="78">
        <f t="shared" si="5"/>
        <v>382434.45120000374</v>
      </c>
    </row>
    <row r="137" spans="1:13" ht="28.35">
      <c r="A137" s="27" t="s">
        <v>229</v>
      </c>
    </row>
    <row r="139" spans="1:13">
      <c r="A139" s="4" t="s">
        <v>230</v>
      </c>
      <c r="B139" s="5"/>
      <c r="C139" s="79">
        <f>SUM(-C132/D132)</f>
        <v>9.5076437997607801</v>
      </c>
    </row>
    <row r="140" spans="1:13">
      <c r="A140" s="18" t="s">
        <v>231</v>
      </c>
      <c r="B140" s="23"/>
      <c r="C140" s="80">
        <f>SUM(M133)</f>
        <v>382434.45120000374</v>
      </c>
    </row>
    <row r="145" spans="1:13" ht="28.35">
      <c r="A145" s="27" t="s">
        <v>232</v>
      </c>
    </row>
    <row r="146" spans="1:13">
      <c r="A146" s="7" t="s">
        <v>201</v>
      </c>
    </row>
    <row r="147" spans="1:13">
      <c r="A147" s="7"/>
    </row>
    <row r="148" spans="1:13" s="62" customFormat="1">
      <c r="A148" s="59"/>
      <c r="B148" s="60"/>
      <c r="C148" s="60" t="s">
        <v>202</v>
      </c>
      <c r="D148" s="60" t="s">
        <v>203</v>
      </c>
      <c r="E148" s="60" t="s">
        <v>204</v>
      </c>
      <c r="F148" s="60" t="s">
        <v>205</v>
      </c>
      <c r="G148" s="60" t="s">
        <v>206</v>
      </c>
      <c r="H148" s="60" t="s">
        <v>207</v>
      </c>
      <c r="I148" s="60" t="s">
        <v>208</v>
      </c>
      <c r="J148" s="60" t="s">
        <v>209</v>
      </c>
      <c r="K148" s="60" t="s">
        <v>210</v>
      </c>
      <c r="L148" s="60" t="s">
        <v>211</v>
      </c>
      <c r="M148" s="61" t="s">
        <v>212</v>
      </c>
    </row>
    <row r="149" spans="1:13">
      <c r="A149" s="15" t="s">
        <v>213</v>
      </c>
      <c r="B149" s="63"/>
      <c r="C149" s="63"/>
      <c r="D149" s="63">
        <f>SUM(I150:I155)</f>
        <v>2605259.5200000005</v>
      </c>
      <c r="E149" s="63">
        <f t="shared" ref="E149:M154" si="6">D149</f>
        <v>2605259.5200000005</v>
      </c>
      <c r="F149" s="63">
        <f t="shared" si="6"/>
        <v>2605259.5200000005</v>
      </c>
      <c r="G149" s="63">
        <f t="shared" si="6"/>
        <v>2605259.5200000005</v>
      </c>
      <c r="H149" s="63">
        <f t="shared" si="6"/>
        <v>2605259.5200000005</v>
      </c>
      <c r="I149" s="63">
        <f t="shared" si="6"/>
        <v>2605259.5200000005</v>
      </c>
      <c r="J149" s="63">
        <f t="shared" si="6"/>
        <v>2605259.5200000005</v>
      </c>
      <c r="K149" s="63">
        <f t="shared" si="6"/>
        <v>2605259.5200000005</v>
      </c>
      <c r="L149" s="63">
        <f t="shared" si="6"/>
        <v>2605259.5200000005</v>
      </c>
      <c r="M149" s="64">
        <f t="shared" si="6"/>
        <v>2605259.5200000005</v>
      </c>
    </row>
    <row r="150" spans="1:13">
      <c r="A150" s="65" t="s">
        <v>164</v>
      </c>
      <c r="D150" s="66">
        <f>-SUM(I71)</f>
        <v>-45000</v>
      </c>
      <c r="E150" s="66">
        <f t="shared" si="6"/>
        <v>-45000</v>
      </c>
      <c r="F150" s="66">
        <f t="shared" si="6"/>
        <v>-45000</v>
      </c>
      <c r="G150" s="66">
        <f t="shared" si="6"/>
        <v>-45000</v>
      </c>
      <c r="H150" s="66">
        <f t="shared" si="6"/>
        <v>-45000</v>
      </c>
      <c r="I150" s="66">
        <f t="shared" si="6"/>
        <v>-45000</v>
      </c>
      <c r="J150" s="66">
        <f t="shared" si="6"/>
        <v>-45000</v>
      </c>
      <c r="K150" s="66">
        <f t="shared" si="6"/>
        <v>-45000</v>
      </c>
      <c r="L150" s="66">
        <f t="shared" si="6"/>
        <v>-45000</v>
      </c>
      <c r="M150" s="67">
        <f t="shared" si="6"/>
        <v>-45000</v>
      </c>
    </row>
    <row r="151" spans="1:13">
      <c r="A151" s="65" t="s">
        <v>214</v>
      </c>
      <c r="D151" s="66">
        <f>-SUM(I78:I80)</f>
        <v>-115000</v>
      </c>
      <c r="E151" s="66">
        <f t="shared" si="6"/>
        <v>-115000</v>
      </c>
      <c r="F151" s="66">
        <f t="shared" si="6"/>
        <v>-115000</v>
      </c>
      <c r="G151" s="66">
        <f t="shared" si="6"/>
        <v>-115000</v>
      </c>
      <c r="H151" s="66">
        <f t="shared" si="6"/>
        <v>-115000</v>
      </c>
      <c r="I151" s="66">
        <f t="shared" si="6"/>
        <v>-115000</v>
      </c>
      <c r="J151" s="66">
        <f t="shared" si="6"/>
        <v>-115000</v>
      </c>
      <c r="K151" s="66">
        <f t="shared" si="6"/>
        <v>-115000</v>
      </c>
      <c r="L151" s="66">
        <f t="shared" si="6"/>
        <v>-115000</v>
      </c>
      <c r="M151" s="67">
        <f t="shared" si="6"/>
        <v>-115000</v>
      </c>
    </row>
    <row r="152" spans="1:13">
      <c r="A152" s="65" t="s">
        <v>197</v>
      </c>
      <c r="D152" s="66">
        <f>-SUM(I89)</f>
        <v>-5000</v>
      </c>
      <c r="E152" s="66">
        <f t="shared" si="6"/>
        <v>-5000</v>
      </c>
      <c r="F152" s="66">
        <f t="shared" si="6"/>
        <v>-5000</v>
      </c>
      <c r="G152" s="66">
        <f t="shared" si="6"/>
        <v>-5000</v>
      </c>
      <c r="H152" s="66">
        <f t="shared" si="6"/>
        <v>-5000</v>
      </c>
      <c r="I152" s="66">
        <f t="shared" si="6"/>
        <v>-5000</v>
      </c>
      <c r="J152" s="66">
        <f t="shared" si="6"/>
        <v>-5000</v>
      </c>
      <c r="K152" s="66">
        <f t="shared" si="6"/>
        <v>-5000</v>
      </c>
      <c r="L152" s="66">
        <f t="shared" si="6"/>
        <v>-5000</v>
      </c>
      <c r="M152" s="67">
        <f t="shared" si="6"/>
        <v>-5000</v>
      </c>
    </row>
    <row r="153" spans="1:13">
      <c r="A153" s="65" t="s">
        <v>215</v>
      </c>
      <c r="D153" s="66">
        <f>-SUM(I95)</f>
        <v>-15000</v>
      </c>
      <c r="E153" s="66">
        <f t="shared" si="6"/>
        <v>-15000</v>
      </c>
      <c r="F153" s="66">
        <f t="shared" si="6"/>
        <v>-15000</v>
      </c>
      <c r="G153" s="66">
        <f t="shared" si="6"/>
        <v>-15000</v>
      </c>
      <c r="H153" s="66">
        <f t="shared" si="6"/>
        <v>-15000</v>
      </c>
      <c r="I153" s="66">
        <f t="shared" si="6"/>
        <v>-15000</v>
      </c>
      <c r="J153" s="66">
        <f t="shared" si="6"/>
        <v>-15000</v>
      </c>
      <c r="K153" s="66">
        <f t="shared" si="6"/>
        <v>-15000</v>
      </c>
      <c r="L153" s="66">
        <f t="shared" si="6"/>
        <v>-15000</v>
      </c>
      <c r="M153" s="67">
        <f t="shared" si="6"/>
        <v>-15000</v>
      </c>
    </row>
    <row r="154" spans="1:13">
      <c r="A154" s="65" t="s">
        <v>233</v>
      </c>
      <c r="D154" s="66">
        <f>-SUM(I77)</f>
        <v>-1419120</v>
      </c>
      <c r="E154" s="66">
        <f>D154</f>
        <v>-1419120</v>
      </c>
      <c r="F154" s="66">
        <f t="shared" si="6"/>
        <v>-1419120</v>
      </c>
      <c r="G154" s="66">
        <f t="shared" si="6"/>
        <v>-1419120</v>
      </c>
      <c r="H154" s="66">
        <f t="shared" si="6"/>
        <v>-1419120</v>
      </c>
      <c r="I154" s="66">
        <f t="shared" si="6"/>
        <v>-1419120</v>
      </c>
      <c r="J154" s="66">
        <f t="shared" si="6"/>
        <v>-1419120</v>
      </c>
      <c r="K154" s="66">
        <f t="shared" si="6"/>
        <v>-1419120</v>
      </c>
      <c r="L154" s="66">
        <f t="shared" si="6"/>
        <v>-1419120</v>
      </c>
      <c r="M154" s="67">
        <f t="shared" si="6"/>
        <v>-1419120</v>
      </c>
    </row>
    <row r="155" spans="1:13">
      <c r="A155" s="65" t="s">
        <v>217</v>
      </c>
      <c r="D155" s="66">
        <f>SUM(D157*H8)</f>
        <v>4204379.5200000005</v>
      </c>
      <c r="E155" s="66">
        <f t="shared" ref="E155:M157" si="7">D155</f>
        <v>4204379.5200000005</v>
      </c>
      <c r="F155" s="66">
        <f t="shared" si="7"/>
        <v>4204379.5200000005</v>
      </c>
      <c r="G155" s="66">
        <f t="shared" si="7"/>
        <v>4204379.5200000005</v>
      </c>
      <c r="H155" s="66">
        <f t="shared" si="7"/>
        <v>4204379.5200000005</v>
      </c>
      <c r="I155" s="66">
        <f t="shared" si="7"/>
        <v>4204379.5200000005</v>
      </c>
      <c r="J155" s="66">
        <f t="shared" si="7"/>
        <v>4204379.5200000005</v>
      </c>
      <c r="K155" s="66">
        <f t="shared" si="7"/>
        <v>4204379.5200000005</v>
      </c>
      <c r="L155" s="66">
        <f t="shared" si="7"/>
        <v>4204379.5200000005</v>
      </c>
      <c r="M155" s="67">
        <f t="shared" si="7"/>
        <v>4204379.5200000005</v>
      </c>
    </row>
    <row r="156" spans="1:13">
      <c r="A156" s="65" t="s">
        <v>234</v>
      </c>
      <c r="C156" s="72"/>
      <c r="D156" s="72">
        <f>SUM(H9*D158)</f>
        <v>188729.92512000003</v>
      </c>
      <c r="E156" s="72">
        <f>D156</f>
        <v>188729.92512000003</v>
      </c>
      <c r="F156" s="72">
        <f t="shared" si="7"/>
        <v>188729.92512000003</v>
      </c>
      <c r="G156" s="72">
        <f t="shared" si="7"/>
        <v>188729.92512000003</v>
      </c>
      <c r="H156" s="72">
        <f t="shared" si="7"/>
        <v>188729.92512000003</v>
      </c>
      <c r="I156" s="72">
        <f t="shared" si="7"/>
        <v>188729.92512000003</v>
      </c>
      <c r="J156" s="72">
        <f t="shared" si="7"/>
        <v>188729.92512000003</v>
      </c>
      <c r="K156" s="72">
        <f t="shared" si="7"/>
        <v>188729.92512000003</v>
      </c>
      <c r="L156" s="72">
        <f t="shared" si="7"/>
        <v>188729.92512000003</v>
      </c>
      <c r="M156" s="73">
        <f t="shared" si="7"/>
        <v>188729.92512000003</v>
      </c>
    </row>
    <row r="157" spans="1:13">
      <c r="A157" s="68" t="s">
        <v>219</v>
      </c>
      <c r="B157" s="69"/>
      <c r="C157" s="69"/>
      <c r="D157" s="70">
        <f>SUM(1111*8760*8/1000)</f>
        <v>77858.880000000005</v>
      </c>
      <c r="E157" s="70">
        <f t="shared" si="7"/>
        <v>77858.880000000005</v>
      </c>
      <c r="F157" s="70">
        <f t="shared" si="7"/>
        <v>77858.880000000005</v>
      </c>
      <c r="G157" s="70">
        <f t="shared" si="7"/>
        <v>77858.880000000005</v>
      </c>
      <c r="H157" s="70">
        <f t="shared" si="7"/>
        <v>77858.880000000005</v>
      </c>
      <c r="I157" s="70">
        <f t="shared" si="7"/>
        <v>77858.880000000005</v>
      </c>
      <c r="J157" s="70">
        <f t="shared" si="7"/>
        <v>77858.880000000005</v>
      </c>
      <c r="K157" s="70">
        <f t="shared" si="7"/>
        <v>77858.880000000005</v>
      </c>
      <c r="L157" s="70">
        <f t="shared" si="7"/>
        <v>77858.880000000005</v>
      </c>
      <c r="M157" s="71">
        <f t="shared" si="7"/>
        <v>77858.880000000005</v>
      </c>
    </row>
    <row r="158" spans="1:13">
      <c r="A158" s="68" t="s">
        <v>220</v>
      </c>
      <c r="B158" s="69"/>
      <c r="C158" s="69"/>
      <c r="D158" s="70">
        <f>SUM(D157*0.202)</f>
        <v>15727.493760000001</v>
      </c>
      <c r="E158" s="70">
        <f t="shared" ref="E158:M158" si="8">SUM(E157*0.202)</f>
        <v>15727.493760000001</v>
      </c>
      <c r="F158" s="70">
        <f t="shared" si="8"/>
        <v>15727.493760000001</v>
      </c>
      <c r="G158" s="70">
        <f t="shared" si="8"/>
        <v>15727.493760000001</v>
      </c>
      <c r="H158" s="70">
        <f t="shared" si="8"/>
        <v>15727.493760000001</v>
      </c>
      <c r="I158" s="70">
        <f t="shared" si="8"/>
        <v>15727.493760000001</v>
      </c>
      <c r="J158" s="70">
        <f t="shared" si="8"/>
        <v>15727.493760000001</v>
      </c>
      <c r="K158" s="70">
        <f t="shared" si="8"/>
        <v>15727.493760000001</v>
      </c>
      <c r="L158" s="70">
        <f t="shared" si="8"/>
        <v>15727.493760000001</v>
      </c>
      <c r="M158" s="71">
        <f t="shared" si="8"/>
        <v>15727.493760000001</v>
      </c>
    </row>
    <row r="159" spans="1:13">
      <c r="A159" s="15" t="s">
        <v>221</v>
      </c>
      <c r="B159" s="63"/>
      <c r="C159" s="63">
        <f>SUM(C160:C163)</f>
        <v>-5485000</v>
      </c>
      <c r="D159" s="63">
        <v>0</v>
      </c>
      <c r="E159" s="63">
        <v>0</v>
      </c>
      <c r="F159" s="63">
        <v>0</v>
      </c>
      <c r="G159" s="63">
        <v>0</v>
      </c>
      <c r="H159" s="63">
        <v>0</v>
      </c>
      <c r="I159" s="63">
        <v>0</v>
      </c>
      <c r="J159" s="63">
        <v>0</v>
      </c>
      <c r="K159" s="63">
        <v>0</v>
      </c>
      <c r="L159" s="63">
        <v>0</v>
      </c>
      <c r="M159" s="64">
        <v>0</v>
      </c>
    </row>
    <row r="160" spans="1:13">
      <c r="A160" s="65" t="s">
        <v>164</v>
      </c>
      <c r="C160" s="66">
        <f>-SUM(I59)</f>
        <v>-330000</v>
      </c>
      <c r="D160" s="72"/>
      <c r="E160" s="72"/>
      <c r="F160" s="72"/>
      <c r="G160" s="72"/>
      <c r="H160" s="72"/>
      <c r="I160" s="72"/>
      <c r="J160" s="72"/>
      <c r="K160" s="72"/>
      <c r="L160" s="72"/>
      <c r="M160" s="73"/>
    </row>
    <row r="161" spans="1:13">
      <c r="A161" s="65" t="s">
        <v>222</v>
      </c>
      <c r="C161" s="66">
        <f>-SUM(I60)</f>
        <v>-4875000</v>
      </c>
      <c r="D161" s="72"/>
      <c r="E161" s="72"/>
      <c r="F161" s="72"/>
      <c r="G161" s="72"/>
      <c r="H161" s="72"/>
      <c r="I161" s="72"/>
      <c r="J161" s="72"/>
      <c r="K161" s="72"/>
      <c r="L161" s="72"/>
      <c r="M161" s="73"/>
    </row>
    <row r="162" spans="1:13">
      <c r="A162" s="65" t="s">
        <v>167</v>
      </c>
      <c r="C162" s="66">
        <f>-SUM(I61)</f>
        <v>-250000</v>
      </c>
      <c r="D162" s="72"/>
      <c r="E162" s="72"/>
      <c r="F162" s="72"/>
      <c r="G162" s="72"/>
      <c r="H162" s="72"/>
      <c r="I162" s="72"/>
      <c r="J162" s="72"/>
      <c r="K162" s="72"/>
      <c r="L162" s="72"/>
      <c r="M162" s="73"/>
    </row>
    <row r="163" spans="1:13">
      <c r="A163" s="65" t="s">
        <v>223</v>
      </c>
      <c r="C163" s="66">
        <f>-SUM(I52)</f>
        <v>-30000</v>
      </c>
      <c r="D163" s="72"/>
      <c r="E163" s="72"/>
      <c r="F163" s="72"/>
      <c r="G163" s="72"/>
      <c r="H163" s="72"/>
      <c r="I163" s="72"/>
      <c r="J163" s="72"/>
      <c r="K163" s="72"/>
      <c r="L163" s="72"/>
      <c r="M163" s="73"/>
    </row>
    <row r="164" spans="1:13" s="58" customFormat="1">
      <c r="A164" s="15" t="s">
        <v>224</v>
      </c>
      <c r="B164" s="74"/>
      <c r="C164" s="63">
        <f>SUM(C165:C166)</f>
        <v>-1645500</v>
      </c>
      <c r="D164" s="63">
        <f t="shared" ref="D164:M164" si="9">SUM(D165:D166)</f>
        <v>0</v>
      </c>
      <c r="E164" s="63">
        <f t="shared" si="9"/>
        <v>0</v>
      </c>
      <c r="F164" s="63">
        <f t="shared" si="9"/>
        <v>0</v>
      </c>
      <c r="G164" s="63">
        <f t="shared" si="9"/>
        <v>0</v>
      </c>
      <c r="H164" s="63">
        <f t="shared" si="9"/>
        <v>0</v>
      </c>
      <c r="I164" s="63">
        <f t="shared" si="9"/>
        <v>0</v>
      </c>
      <c r="J164" s="63">
        <f t="shared" si="9"/>
        <v>0</v>
      </c>
      <c r="K164" s="63">
        <f t="shared" si="9"/>
        <v>0</v>
      </c>
      <c r="L164" s="63">
        <f t="shared" si="9"/>
        <v>0</v>
      </c>
      <c r="M164" s="63">
        <f t="shared" si="9"/>
        <v>0</v>
      </c>
    </row>
    <row r="165" spans="1:13">
      <c r="A165" s="65" t="s">
        <v>225</v>
      </c>
      <c r="C165" s="72">
        <f>SUM(C159*H10)</f>
        <v>-1645500</v>
      </c>
      <c r="D165" s="72"/>
      <c r="E165" s="72"/>
      <c r="F165" s="72"/>
      <c r="G165" s="72"/>
      <c r="H165" s="72"/>
      <c r="I165" s="72"/>
      <c r="J165" s="72"/>
      <c r="K165" s="72"/>
      <c r="L165" s="72"/>
      <c r="M165" s="73"/>
    </row>
    <row r="166" spans="1:13">
      <c r="A166" s="65" t="s">
        <v>226</v>
      </c>
      <c r="C166" s="72"/>
      <c r="D166" s="72">
        <f>SUM(H11*D158)</f>
        <v>0</v>
      </c>
      <c r="E166" s="72">
        <f>D166</f>
        <v>0</v>
      </c>
      <c r="F166" s="72">
        <f t="shared" ref="F166" si="10">E166</f>
        <v>0</v>
      </c>
      <c r="G166" s="72">
        <f t="shared" ref="G166" si="11">F166</f>
        <v>0</v>
      </c>
      <c r="H166" s="72">
        <f t="shared" ref="H166" si="12">G166</f>
        <v>0</v>
      </c>
      <c r="I166" s="72">
        <f t="shared" ref="I166" si="13">H166</f>
        <v>0</v>
      </c>
      <c r="J166" s="72">
        <f t="shared" ref="J166" si="14">I166</f>
        <v>0</v>
      </c>
      <c r="K166" s="72">
        <f t="shared" ref="K166" si="15">J166</f>
        <v>0</v>
      </c>
      <c r="L166" s="72">
        <f t="shared" ref="L166" si="16">K166</f>
        <v>0</v>
      </c>
      <c r="M166" s="73">
        <f t="shared" ref="M166" si="17">L166</f>
        <v>0</v>
      </c>
    </row>
    <row r="167" spans="1:13">
      <c r="A167" s="15" t="s">
        <v>227</v>
      </c>
      <c r="B167" s="9"/>
      <c r="C167" s="75">
        <f>SUM(C159-C165)</f>
        <v>-3839500</v>
      </c>
      <c r="D167" s="75">
        <f t="shared" ref="D167:M167" si="18">SUM(D159+D149+D166)</f>
        <v>2605259.5200000005</v>
      </c>
      <c r="E167" s="75">
        <f t="shared" si="18"/>
        <v>2605259.5200000005</v>
      </c>
      <c r="F167" s="75">
        <f t="shared" si="18"/>
        <v>2605259.5200000005</v>
      </c>
      <c r="G167" s="75">
        <f t="shared" si="18"/>
        <v>2605259.5200000005</v>
      </c>
      <c r="H167" s="75">
        <f t="shared" si="18"/>
        <v>2605259.5200000005</v>
      </c>
      <c r="I167" s="75">
        <f t="shared" si="18"/>
        <v>2605259.5200000005</v>
      </c>
      <c r="J167" s="75">
        <f t="shared" si="18"/>
        <v>2605259.5200000005</v>
      </c>
      <c r="K167" s="75">
        <f t="shared" si="18"/>
        <v>2605259.5200000005</v>
      </c>
      <c r="L167" s="75">
        <f t="shared" si="18"/>
        <v>2605259.5200000005</v>
      </c>
      <c r="M167" s="76">
        <f t="shared" si="18"/>
        <v>2605259.5200000005</v>
      </c>
    </row>
    <row r="168" spans="1:13">
      <c r="A168" s="18" t="s">
        <v>228</v>
      </c>
      <c r="B168" s="23"/>
      <c r="C168" s="77">
        <f>SUM(C167)</f>
        <v>-3839500</v>
      </c>
      <c r="D168" s="77">
        <f>SUM(C168+D167)</f>
        <v>-1234240.4799999995</v>
      </c>
      <c r="E168" s="77">
        <f t="shared" ref="E168:M168" si="19">SUM(D168+E167)</f>
        <v>1371019.040000001</v>
      </c>
      <c r="F168" s="77">
        <f t="shared" si="19"/>
        <v>3976278.5600000015</v>
      </c>
      <c r="G168" s="77">
        <f t="shared" si="19"/>
        <v>6581538.0800000019</v>
      </c>
      <c r="H168" s="77">
        <f t="shared" si="19"/>
        <v>9186797.6000000015</v>
      </c>
      <c r="I168" s="77">
        <f t="shared" si="19"/>
        <v>11792057.120000001</v>
      </c>
      <c r="J168" s="77">
        <f t="shared" si="19"/>
        <v>14397316.640000001</v>
      </c>
      <c r="K168" s="77">
        <f t="shared" si="19"/>
        <v>17002576.16</v>
      </c>
      <c r="L168" s="77">
        <f t="shared" si="19"/>
        <v>19607835.68</v>
      </c>
      <c r="M168" s="78">
        <f t="shared" si="19"/>
        <v>22213095.199999999</v>
      </c>
    </row>
    <row r="172" spans="1:13" ht="28.35">
      <c r="A172" s="27" t="s">
        <v>235</v>
      </c>
    </row>
    <row r="174" spans="1:13">
      <c r="A174" s="4" t="s">
        <v>230</v>
      </c>
      <c r="B174" s="5"/>
      <c r="C174" s="79">
        <f>SUM(-C167/D167)</f>
        <v>1.473749532637731</v>
      </c>
    </row>
    <row r="175" spans="1:13">
      <c r="A175" s="18" t="s">
        <v>231</v>
      </c>
      <c r="B175" s="23"/>
      <c r="C175" s="80">
        <f>SUM(M168)</f>
        <v>22213095.199999999</v>
      </c>
    </row>
  </sheetData>
  <mergeCells count="82">
    <mergeCell ref="F1:H1"/>
    <mergeCell ref="A18:B18"/>
    <mergeCell ref="F18:G18"/>
    <mergeCell ref="A19:B19"/>
    <mergeCell ref="F19:G19"/>
    <mergeCell ref="A20:B20"/>
    <mergeCell ref="F20:G20"/>
    <mergeCell ref="A21:B21"/>
    <mergeCell ref="F21:G21"/>
    <mergeCell ref="A23:C23"/>
    <mergeCell ref="F23:H23"/>
    <mergeCell ref="A22:B22"/>
    <mergeCell ref="F22:G22"/>
    <mergeCell ref="A24:B24"/>
    <mergeCell ref="F24:G24"/>
    <mergeCell ref="A25:B25"/>
    <mergeCell ref="F25:G25"/>
    <mergeCell ref="A31:B31"/>
    <mergeCell ref="F31:G31"/>
    <mergeCell ref="A32:B32"/>
    <mergeCell ref="F32:G32"/>
    <mergeCell ref="A33:B33"/>
    <mergeCell ref="F33:G33"/>
    <mergeCell ref="A35:B35"/>
    <mergeCell ref="F35:G35"/>
    <mergeCell ref="A36:B36"/>
    <mergeCell ref="F36:G36"/>
    <mergeCell ref="A42:B42"/>
    <mergeCell ref="F42:G42"/>
    <mergeCell ref="A43:B43"/>
    <mergeCell ref="F43:G43"/>
    <mergeCell ref="A61:C61"/>
    <mergeCell ref="F61:H61"/>
    <mergeCell ref="A44:B44"/>
    <mergeCell ref="F44:G44"/>
    <mergeCell ref="A50:B50"/>
    <mergeCell ref="F50:G50"/>
    <mergeCell ref="A52:B52"/>
    <mergeCell ref="A59:C59"/>
    <mergeCell ref="F59:H59"/>
    <mergeCell ref="A60:C60"/>
    <mergeCell ref="F60:H60"/>
    <mergeCell ref="A62:C62"/>
    <mergeCell ref="F62:H62"/>
    <mergeCell ref="A63:C63"/>
    <mergeCell ref="F63:H63"/>
    <mergeCell ref="A69:B69"/>
    <mergeCell ref="F69:G69"/>
    <mergeCell ref="A70:B70"/>
    <mergeCell ref="F70:G70"/>
    <mergeCell ref="A71:B71"/>
    <mergeCell ref="F71:G71"/>
    <mergeCell ref="A77:B77"/>
    <mergeCell ref="F77:G77"/>
    <mergeCell ref="A79:B79"/>
    <mergeCell ref="F78:G78"/>
    <mergeCell ref="A80:B80"/>
    <mergeCell ref="F79:G79"/>
    <mergeCell ref="A81:B81"/>
    <mergeCell ref="F80:G80"/>
    <mergeCell ref="A82:B82"/>
    <mergeCell ref="F81:G81"/>
    <mergeCell ref="A88:B88"/>
    <mergeCell ref="F88:G88"/>
    <mergeCell ref="A89:B89"/>
    <mergeCell ref="F89:G89"/>
    <mergeCell ref="A106:B106"/>
    <mergeCell ref="F106:G106"/>
    <mergeCell ref="F51:G51"/>
    <mergeCell ref="F53:G53"/>
    <mergeCell ref="A103:C103"/>
    <mergeCell ref="F103:H103"/>
    <mergeCell ref="A104:B104"/>
    <mergeCell ref="F104:G104"/>
    <mergeCell ref="A105:C105"/>
    <mergeCell ref="F105:H105"/>
    <mergeCell ref="A95:B95"/>
    <mergeCell ref="F95:G95"/>
    <mergeCell ref="A96:B96"/>
    <mergeCell ref="F96:G96"/>
    <mergeCell ref="A102:B102"/>
    <mergeCell ref="F102:G102"/>
  </mergeCells>
  <hyperlinks>
    <hyperlink ref="Z20" r:id="rId1" xr:uid="{6EAF66B8-AD8E-4572-87A0-6712778CDA9C}"/>
  </hyperlinks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0C822F-B8D1-430D-A7C1-014F1E93E2D7}">
          <x14:formula1>
            <xm:f>Introduction!$A$32:$A$37</xm:f>
          </x14:formula1>
          <xm:sqref>F1:H1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94F1-4237-46A0-B3CE-40C4813B600A}">
  <dimension ref="A2:N193"/>
  <sheetViews>
    <sheetView workbookViewId="0"/>
  </sheetViews>
  <sheetFormatPr defaultColWidth="18.7109375" defaultRowHeight="14.65"/>
  <cols>
    <col min="1" max="1" width="21.28515625" style="87" customWidth="1"/>
    <col min="2" max="2" width="47.85546875" style="87" customWidth="1"/>
    <col min="3" max="3" width="12.140625" style="87" customWidth="1"/>
    <col min="4" max="6" width="18.7109375" style="87"/>
    <col min="7" max="7" width="14.85546875" style="87" customWidth="1"/>
    <col min="8" max="16384" width="18.7109375" style="87"/>
  </cols>
  <sheetData>
    <row r="2" spans="1:4" ht="33.4">
      <c r="A2" s="1" t="s">
        <v>236</v>
      </c>
      <c r="D2" s="126"/>
    </row>
    <row r="3" spans="1:4" ht="33.4">
      <c r="A3" s="1"/>
      <c r="D3" s="126"/>
    </row>
    <row r="5" spans="1:4" ht="28.35">
      <c r="A5" s="27" t="s">
        <v>237</v>
      </c>
    </row>
    <row r="7" spans="1:4">
      <c r="A7" s="35" t="s">
        <v>105</v>
      </c>
      <c r="B7" s="35" t="s">
        <v>238</v>
      </c>
      <c r="C7" s="36" t="s">
        <v>239</v>
      </c>
    </row>
    <row r="8" spans="1:4">
      <c r="A8" s="139" t="s">
        <v>240</v>
      </c>
      <c r="B8" s="140"/>
      <c r="C8" s="104">
        <f>SUM(C9:C20)</f>
        <v>792000</v>
      </c>
      <c r="D8" s="117" t="s">
        <v>241</v>
      </c>
    </row>
    <row r="9" spans="1:4">
      <c r="A9" s="117" t="s">
        <v>242</v>
      </c>
      <c r="B9" s="117" t="s">
        <v>243</v>
      </c>
      <c r="C9" s="67">
        <v>70000</v>
      </c>
      <c r="D9" s="117"/>
    </row>
    <row r="10" spans="1:4">
      <c r="A10" s="117" t="s">
        <v>244</v>
      </c>
      <c r="B10" s="117" t="s">
        <v>245</v>
      </c>
      <c r="C10" s="67">
        <v>40000</v>
      </c>
      <c r="D10" s="117"/>
    </row>
    <row r="11" spans="1:4">
      <c r="A11" s="117" t="s">
        <v>246</v>
      </c>
      <c r="B11" s="117" t="s">
        <v>247</v>
      </c>
      <c r="C11" s="106">
        <v>40000</v>
      </c>
      <c r="D11" s="117"/>
    </row>
    <row r="12" spans="1:4">
      <c r="A12" s="117" t="s">
        <v>248</v>
      </c>
      <c r="B12" s="117" t="s">
        <v>249</v>
      </c>
      <c r="C12" s="106">
        <v>15000</v>
      </c>
      <c r="D12" s="117"/>
    </row>
    <row r="13" spans="1:4">
      <c r="A13" s="117" t="s">
        <v>250</v>
      </c>
      <c r="B13" s="117" t="s">
        <v>251</v>
      </c>
      <c r="C13" s="106">
        <v>6000</v>
      </c>
      <c r="D13" s="117"/>
    </row>
    <row r="14" spans="1:4">
      <c r="A14" s="117" t="s">
        <v>252</v>
      </c>
      <c r="B14" s="117" t="s">
        <v>253</v>
      </c>
      <c r="C14" s="106">
        <v>8000</v>
      </c>
      <c r="D14" s="117"/>
    </row>
    <row r="15" spans="1:4">
      <c r="A15" s="117" t="s">
        <v>254</v>
      </c>
      <c r="B15" s="117" t="s">
        <v>255</v>
      </c>
      <c r="C15" s="106">
        <v>10000</v>
      </c>
      <c r="D15" s="117"/>
    </row>
    <row r="16" spans="1:4">
      <c r="A16" s="117" t="s">
        <v>256</v>
      </c>
      <c r="B16" s="117" t="s">
        <v>257</v>
      </c>
      <c r="C16" s="106">
        <v>40000</v>
      </c>
      <c r="D16" s="117"/>
    </row>
    <row r="17" spans="1:4">
      <c r="A17" s="117" t="s">
        <v>258</v>
      </c>
      <c r="B17" s="117" t="s">
        <v>259</v>
      </c>
      <c r="C17" s="106">
        <v>20000</v>
      </c>
      <c r="D17" s="117"/>
    </row>
    <row r="18" spans="1:4">
      <c r="A18" s="117" t="s">
        <v>260</v>
      </c>
      <c r="B18" s="117" t="s">
        <v>261</v>
      </c>
      <c r="C18" s="106">
        <v>15000</v>
      </c>
      <c r="D18" s="117"/>
    </row>
    <row r="19" spans="1:4">
      <c r="A19" s="117" t="s">
        <v>262</v>
      </c>
      <c r="B19" s="117" t="s">
        <v>263</v>
      </c>
      <c r="C19" s="106" cm="1">
        <f t="array" ref="C19">SUM(C9:C18*0.5)</f>
        <v>132000</v>
      </c>
      <c r="D19" s="117"/>
    </row>
    <row r="20" spans="1:4">
      <c r="A20" s="117" t="s">
        <v>264</v>
      </c>
      <c r="B20" s="117" t="s">
        <v>265</v>
      </c>
      <c r="C20" s="106" cm="1">
        <f t="array" ref="C20">SUM(C9:C19*1)</f>
        <v>396000</v>
      </c>
      <c r="D20" s="117"/>
    </row>
    <row r="21" spans="1:4">
      <c r="A21" s="38"/>
      <c r="B21" s="38"/>
      <c r="C21" s="104"/>
      <c r="D21" s="117"/>
    </row>
    <row r="22" spans="1:4">
      <c r="A22" s="37" t="s">
        <v>266</v>
      </c>
      <c r="B22" s="107" t="s">
        <v>267</v>
      </c>
      <c r="C22" s="104">
        <f>SUM(C23:C29)</f>
        <v>10450000</v>
      </c>
      <c r="D22" s="117" t="s">
        <v>268</v>
      </c>
    </row>
    <row r="23" spans="1:4">
      <c r="A23" s="117" t="s">
        <v>269</v>
      </c>
      <c r="B23" s="117" t="s">
        <v>270</v>
      </c>
      <c r="C23" s="67">
        <v>3000000</v>
      </c>
      <c r="D23" s="117" t="s">
        <v>271</v>
      </c>
    </row>
    <row r="24" spans="1:4">
      <c r="A24" s="117" t="s">
        <v>272</v>
      </c>
      <c r="B24" s="117" t="s">
        <v>273</v>
      </c>
      <c r="C24" s="67">
        <v>1500000</v>
      </c>
      <c r="D24" s="117"/>
    </row>
    <row r="25" spans="1:4">
      <c r="A25" s="117" t="s">
        <v>274</v>
      </c>
      <c r="B25" s="117" t="s">
        <v>275</v>
      </c>
      <c r="C25" s="67">
        <v>700000</v>
      </c>
      <c r="D25" s="117"/>
    </row>
    <row r="26" spans="1:4">
      <c r="A26" s="117" t="s">
        <v>276</v>
      </c>
      <c r="B26" s="117" t="s">
        <v>277</v>
      </c>
      <c r="C26" s="67">
        <v>400000</v>
      </c>
      <c r="D26" s="117"/>
    </row>
    <row r="27" spans="1:4">
      <c r="A27" s="117" t="s">
        <v>278</v>
      </c>
      <c r="B27" s="117" t="s">
        <v>279</v>
      </c>
      <c r="C27" s="67">
        <v>350000</v>
      </c>
      <c r="D27" s="117"/>
    </row>
    <row r="28" spans="1:4">
      <c r="A28" s="117" t="s">
        <v>280</v>
      </c>
      <c r="B28" s="117" t="s">
        <v>281</v>
      </c>
      <c r="C28" s="67">
        <v>1500000</v>
      </c>
      <c r="D28" s="117"/>
    </row>
    <row r="29" spans="1:4">
      <c r="A29" s="117" t="s">
        <v>264</v>
      </c>
      <c r="B29" s="117" t="s">
        <v>282</v>
      </c>
      <c r="C29" s="67">
        <v>3000000</v>
      </c>
      <c r="D29" s="117"/>
    </row>
    <row r="30" spans="1:4">
      <c r="A30" s="117"/>
      <c r="B30" s="117"/>
      <c r="C30" s="67"/>
      <c r="D30" s="117"/>
    </row>
    <row r="31" spans="1:4">
      <c r="A31" s="137" t="s">
        <v>283</v>
      </c>
      <c r="B31" s="138"/>
      <c r="C31" s="45">
        <f>SUM(C22-C8)</f>
        <v>9658000</v>
      </c>
      <c r="D31" s="117" t="s">
        <v>284</v>
      </c>
    </row>
    <row r="32" spans="1:4">
      <c r="A32" s="38"/>
      <c r="B32" s="38"/>
      <c r="C32" s="47"/>
    </row>
    <row r="33" spans="1:5">
      <c r="A33" s="38" t="s">
        <v>151</v>
      </c>
      <c r="C33" s="47"/>
    </row>
    <row r="34" spans="1:5">
      <c r="A34" s="87" t="s">
        <v>285</v>
      </c>
      <c r="B34" s="38"/>
      <c r="C34" s="47"/>
    </row>
    <row r="35" spans="1:5">
      <c r="A35" s="87" t="s">
        <v>286</v>
      </c>
    </row>
    <row r="39" spans="1:5" ht="28.35">
      <c r="A39" s="27" t="s">
        <v>287</v>
      </c>
    </row>
    <row r="41" spans="1:5">
      <c r="A41" s="35" t="s">
        <v>105</v>
      </c>
      <c r="B41" s="35" t="s">
        <v>288</v>
      </c>
      <c r="C41" s="36" t="s">
        <v>239</v>
      </c>
    </row>
    <row r="42" spans="1:5">
      <c r="A42" s="139" t="s">
        <v>240</v>
      </c>
      <c r="B42" s="140"/>
      <c r="C42" s="104">
        <f>SUM(C43:C46)</f>
        <v>220000</v>
      </c>
    </row>
    <row r="43" spans="1:5">
      <c r="A43" s="117" t="s">
        <v>177</v>
      </c>
      <c r="B43" s="117"/>
      <c r="C43" s="67">
        <v>120000</v>
      </c>
      <c r="D43" s="117" t="s">
        <v>289</v>
      </c>
    </row>
    <row r="44" spans="1:5">
      <c r="A44" s="117" t="s">
        <v>181</v>
      </c>
      <c r="B44" s="117" t="s">
        <v>290</v>
      </c>
      <c r="C44" s="67">
        <v>60000</v>
      </c>
    </row>
    <row r="45" spans="1:5">
      <c r="A45" s="117" t="s">
        <v>291</v>
      </c>
      <c r="B45" s="117"/>
      <c r="C45" s="106">
        <v>15000</v>
      </c>
    </row>
    <row r="46" spans="1:5">
      <c r="A46" s="117" t="s">
        <v>258</v>
      </c>
      <c r="B46" s="117" t="s">
        <v>292</v>
      </c>
      <c r="C46" s="106">
        <v>25000</v>
      </c>
      <c r="D46" s="132">
        <f>SUM(C44:C46)</f>
        <v>100000</v>
      </c>
      <c r="E46" s="117" t="s">
        <v>293</v>
      </c>
    </row>
    <row r="47" spans="1:5">
      <c r="A47" s="38"/>
      <c r="B47" s="105"/>
      <c r="C47" s="104"/>
    </row>
    <row r="48" spans="1:5">
      <c r="A48" s="37" t="s">
        <v>266</v>
      </c>
      <c r="B48" s="107" t="s">
        <v>267</v>
      </c>
      <c r="C48" s="104">
        <f>SUM(C49:C53)</f>
        <v>3170000</v>
      </c>
    </row>
    <row r="49" spans="1:5">
      <c r="A49" s="117" t="s">
        <v>177</v>
      </c>
      <c r="B49" s="117" t="s">
        <v>294</v>
      </c>
      <c r="C49" s="67">
        <v>2500000</v>
      </c>
      <c r="D49" s="117" t="s">
        <v>295</v>
      </c>
    </row>
    <row r="50" spans="1:5">
      <c r="A50" s="117" t="s">
        <v>181</v>
      </c>
      <c r="B50" s="117"/>
      <c r="C50" s="67">
        <v>300000</v>
      </c>
      <c r="D50" s="117" t="s">
        <v>296</v>
      </c>
    </row>
    <row r="51" spans="1:5">
      <c r="A51" s="87" t="s">
        <v>297</v>
      </c>
      <c r="B51" s="117" t="s">
        <v>298</v>
      </c>
      <c r="C51" s="67">
        <v>220000</v>
      </c>
      <c r="D51" s="117" t="s">
        <v>299</v>
      </c>
      <c r="E51" s="133">
        <v>2.2000000000000002</v>
      </c>
    </row>
    <row r="52" spans="1:5">
      <c r="A52" s="117" t="s">
        <v>291</v>
      </c>
      <c r="B52" s="117" t="s">
        <v>300</v>
      </c>
      <c r="C52" s="67">
        <v>50000</v>
      </c>
    </row>
    <row r="53" spans="1:5">
      <c r="A53" s="117" t="s">
        <v>258</v>
      </c>
      <c r="B53" s="117"/>
      <c r="C53" s="67">
        <v>100000</v>
      </c>
    </row>
    <row r="54" spans="1:5">
      <c r="A54" s="117"/>
      <c r="B54" s="117"/>
      <c r="C54" s="67"/>
    </row>
    <row r="55" spans="1:5">
      <c r="A55" s="117" t="s">
        <v>301</v>
      </c>
      <c r="C55" s="67">
        <f>SUM(D55-D46)</f>
        <v>570000</v>
      </c>
      <c r="D55" s="132">
        <f>SUM(C50:C53)</f>
        <v>670000</v>
      </c>
      <c r="E55" s="117" t="s">
        <v>293</v>
      </c>
    </row>
    <row r="56" spans="1:5">
      <c r="A56" s="137" t="s">
        <v>302</v>
      </c>
      <c r="B56" s="138"/>
      <c r="C56" s="45">
        <f>SUM(C48-C42)</f>
        <v>2950000</v>
      </c>
    </row>
    <row r="57" spans="1:5">
      <c r="A57" s="38"/>
      <c r="B57" s="38"/>
      <c r="C57" s="47"/>
    </row>
    <row r="58" spans="1:5">
      <c r="A58" s="121" t="s">
        <v>151</v>
      </c>
    </row>
    <row r="59" spans="1:5">
      <c r="A59" s="87" t="s">
        <v>303</v>
      </c>
    </row>
    <row r="63" spans="1:5" ht="28.35">
      <c r="A63" s="27" t="s">
        <v>304</v>
      </c>
    </row>
    <row r="64" spans="1:5">
      <c r="A64" s="7" t="s">
        <v>305</v>
      </c>
    </row>
    <row r="66" spans="1:3" ht="29.1">
      <c r="A66" s="127" t="s">
        <v>306</v>
      </c>
      <c r="B66" s="128" t="s">
        <v>307</v>
      </c>
      <c r="C66" s="129" t="s">
        <v>308</v>
      </c>
    </row>
    <row r="67" spans="1:3">
      <c r="A67" s="118" t="s">
        <v>309</v>
      </c>
      <c r="C67" s="119"/>
    </row>
    <row r="68" spans="1:3">
      <c r="A68" s="57"/>
      <c r="B68" s="108" t="s">
        <v>221</v>
      </c>
      <c r="C68" s="104">
        <f>SUM(C69:C71)</f>
        <v>5360000</v>
      </c>
    </row>
    <row r="69" spans="1:3">
      <c r="A69" s="65"/>
      <c r="B69" s="117" t="s">
        <v>310</v>
      </c>
      <c r="C69" s="67">
        <f>SUM(2240000)</f>
        <v>2240000</v>
      </c>
    </row>
    <row r="70" spans="1:3">
      <c r="A70" s="65"/>
      <c r="B70" s="117" t="s">
        <v>311</v>
      </c>
      <c r="C70" s="67">
        <v>1120000</v>
      </c>
    </row>
    <row r="71" spans="1:3">
      <c r="A71" s="120"/>
      <c r="B71" s="117" t="s">
        <v>312</v>
      </c>
      <c r="C71" s="67">
        <v>2000000</v>
      </c>
    </row>
    <row r="72" spans="1:3">
      <c r="A72" s="120"/>
      <c r="C72" s="109"/>
    </row>
    <row r="73" spans="1:3">
      <c r="A73" s="120"/>
      <c r="B73" s="121" t="s">
        <v>213</v>
      </c>
      <c r="C73" s="110">
        <f>SUM(C74)</f>
        <v>800000</v>
      </c>
    </row>
    <row r="74" spans="1:3">
      <c r="A74" s="120"/>
      <c r="B74" s="117" t="s">
        <v>313</v>
      </c>
      <c r="C74" s="111">
        <v>800000</v>
      </c>
    </row>
    <row r="75" spans="1:3">
      <c r="A75" s="120"/>
      <c r="B75" s="121"/>
      <c r="C75" s="109"/>
    </row>
    <row r="76" spans="1:3">
      <c r="A76" s="122" t="s">
        <v>314</v>
      </c>
      <c r="B76" s="123"/>
      <c r="C76" s="115"/>
    </row>
    <row r="77" spans="1:3">
      <c r="A77" s="120"/>
      <c r="B77" s="121" t="s">
        <v>221</v>
      </c>
      <c r="C77" s="104">
        <f>SUM(C78:C80)</f>
        <v>7840000</v>
      </c>
    </row>
    <row r="78" spans="1:3">
      <c r="A78" s="120"/>
      <c r="B78" s="87" t="s">
        <v>315</v>
      </c>
      <c r="C78" s="67">
        <v>2800000</v>
      </c>
    </row>
    <row r="79" spans="1:3">
      <c r="A79" s="120"/>
      <c r="B79" s="87" t="s">
        <v>316</v>
      </c>
      <c r="C79" s="67">
        <v>1680000</v>
      </c>
    </row>
    <row r="80" spans="1:3">
      <c r="A80" s="120"/>
      <c r="B80" s="87" t="s">
        <v>317</v>
      </c>
      <c r="C80" s="67">
        <v>3360000</v>
      </c>
    </row>
    <row r="81" spans="1:3">
      <c r="A81" s="120"/>
      <c r="C81" s="112"/>
    </row>
    <row r="82" spans="1:3">
      <c r="A82" s="120"/>
      <c r="B82" s="121" t="s">
        <v>213</v>
      </c>
      <c r="C82" s="110">
        <f>SUM(C83)</f>
        <v>800000</v>
      </c>
    </row>
    <row r="83" spans="1:3">
      <c r="A83" s="120"/>
      <c r="B83" s="87" t="s">
        <v>318</v>
      </c>
      <c r="C83" s="111">
        <v>800000</v>
      </c>
    </row>
    <row r="84" spans="1:3">
      <c r="A84" s="120"/>
      <c r="C84" s="112"/>
    </row>
    <row r="85" spans="1:3">
      <c r="A85" s="122" t="s">
        <v>319</v>
      </c>
      <c r="B85" s="123"/>
      <c r="C85" s="114"/>
    </row>
    <row r="86" spans="1:3">
      <c r="A86" s="120"/>
      <c r="B86" s="121" t="s">
        <v>221</v>
      </c>
      <c r="C86" s="104">
        <f>SUM(C87:C89)</f>
        <v>7940000</v>
      </c>
    </row>
    <row r="87" spans="1:3">
      <c r="A87" s="120"/>
      <c r="B87" s="87" t="s">
        <v>320</v>
      </c>
      <c r="C87" s="67">
        <v>2020000</v>
      </c>
    </row>
    <row r="88" spans="1:3">
      <c r="A88" s="120"/>
      <c r="B88" s="87" t="s">
        <v>321</v>
      </c>
      <c r="C88" s="67">
        <v>3920000</v>
      </c>
    </row>
    <row r="89" spans="1:3">
      <c r="A89" s="120"/>
      <c r="B89" s="117" t="s">
        <v>312</v>
      </c>
      <c r="C89" s="67">
        <v>2000000</v>
      </c>
    </row>
    <row r="90" spans="1:3">
      <c r="A90" s="120"/>
      <c r="C90" s="109"/>
    </row>
    <row r="91" spans="1:3">
      <c r="A91" s="120"/>
      <c r="B91" s="121" t="s">
        <v>213</v>
      </c>
      <c r="C91" s="110">
        <f>SUM(C92)</f>
        <v>800000</v>
      </c>
    </row>
    <row r="92" spans="1:3">
      <c r="A92" s="120"/>
      <c r="B92" s="117" t="s">
        <v>313</v>
      </c>
      <c r="C92" s="111">
        <v>800000</v>
      </c>
    </row>
    <row r="93" spans="1:3">
      <c r="A93" s="120"/>
      <c r="C93" s="112"/>
    </row>
    <row r="94" spans="1:3">
      <c r="A94" s="122" t="s">
        <v>322</v>
      </c>
      <c r="B94" s="123"/>
      <c r="C94" s="115"/>
    </row>
    <row r="95" spans="1:3">
      <c r="A95" s="118"/>
      <c r="B95" s="121" t="s">
        <v>221</v>
      </c>
      <c r="C95" s="104">
        <f>SUM(C96:C97)</f>
        <v>4240000</v>
      </c>
    </row>
    <row r="96" spans="1:3">
      <c r="A96" s="120"/>
      <c r="B96" s="117" t="s">
        <v>323</v>
      </c>
      <c r="C96" s="67">
        <v>2240000</v>
      </c>
    </row>
    <row r="97" spans="1:3">
      <c r="A97" s="120"/>
      <c r="B97" s="117" t="s">
        <v>312</v>
      </c>
      <c r="C97" s="67">
        <v>2000000</v>
      </c>
    </row>
    <row r="98" spans="1:3">
      <c r="A98" s="120"/>
      <c r="C98" s="109"/>
    </row>
    <row r="99" spans="1:3">
      <c r="A99" s="120"/>
      <c r="B99" s="121" t="s">
        <v>213</v>
      </c>
      <c r="C99" s="110">
        <f>SUM(C100+C101)</f>
        <v>900000</v>
      </c>
    </row>
    <row r="100" spans="1:3">
      <c r="A100" s="120"/>
      <c r="B100" s="117" t="s">
        <v>324</v>
      </c>
      <c r="C100" s="111">
        <v>100000</v>
      </c>
    </row>
    <row r="101" spans="1:3">
      <c r="A101" s="120"/>
      <c r="B101" s="117" t="s">
        <v>313</v>
      </c>
      <c r="C101" s="111">
        <v>800000</v>
      </c>
    </row>
    <row r="102" spans="1:3">
      <c r="A102" s="120"/>
      <c r="C102" s="112"/>
    </row>
    <row r="103" spans="1:3">
      <c r="A103" s="122" t="s">
        <v>325</v>
      </c>
      <c r="B103" s="123"/>
      <c r="C103" s="114"/>
    </row>
    <row r="104" spans="1:3">
      <c r="A104" s="120"/>
      <c r="B104" s="121" t="s">
        <v>221</v>
      </c>
      <c r="C104" s="104">
        <f>SUM(C105:C106)</f>
        <v>2560000</v>
      </c>
    </row>
    <row r="105" spans="1:3">
      <c r="A105" s="120"/>
      <c r="B105" s="117" t="s">
        <v>326</v>
      </c>
      <c r="C105" s="67">
        <v>560000</v>
      </c>
    </row>
    <row r="106" spans="1:3">
      <c r="A106" s="120"/>
      <c r="B106" s="117" t="s">
        <v>312</v>
      </c>
      <c r="C106" s="67">
        <v>2000000</v>
      </c>
    </row>
    <row r="107" spans="1:3">
      <c r="A107" s="120"/>
      <c r="C107" s="109"/>
    </row>
    <row r="108" spans="1:3">
      <c r="A108" s="120"/>
      <c r="B108" s="121" t="s">
        <v>213</v>
      </c>
      <c r="C108" s="110">
        <f>SUM(C109)</f>
        <v>800000</v>
      </c>
    </row>
    <row r="109" spans="1:3">
      <c r="A109" s="124"/>
      <c r="B109" s="125" t="s">
        <v>313</v>
      </c>
      <c r="C109" s="113">
        <v>800000</v>
      </c>
    </row>
    <row r="110" spans="1:3">
      <c r="B110" s="117"/>
      <c r="C110" s="116"/>
    </row>
    <row r="112" spans="1:3" ht="28.35">
      <c r="A112" s="27" t="s">
        <v>327</v>
      </c>
    </row>
    <row r="113" spans="1:3">
      <c r="A113" s="117" t="s">
        <v>328</v>
      </c>
    </row>
    <row r="115" spans="1:3">
      <c r="A115" s="33" t="s">
        <v>105</v>
      </c>
      <c r="B115" s="34"/>
      <c r="C115" s="36" t="s">
        <v>329</v>
      </c>
    </row>
    <row r="116" spans="1:3">
      <c r="A116" s="139" t="s">
        <v>309</v>
      </c>
      <c r="B116" s="140"/>
      <c r="C116" s="104">
        <f>SUM(C117:C118)</f>
        <v>9895600</v>
      </c>
    </row>
    <row r="117" spans="1:3">
      <c r="A117" s="117" t="s">
        <v>330</v>
      </c>
      <c r="B117" s="107"/>
      <c r="C117" s="67">
        <f>C31</f>
        <v>9658000</v>
      </c>
    </row>
    <row r="118" spans="1:3" ht="15.4" customHeight="1">
      <c r="A118" s="117" t="s">
        <v>331</v>
      </c>
      <c r="B118" s="107"/>
      <c r="C118" s="106">
        <f>SUM(C8*0.3)</f>
        <v>237600</v>
      </c>
    </row>
    <row r="119" spans="1:3">
      <c r="A119" s="37"/>
      <c r="B119" s="38"/>
      <c r="C119" s="104"/>
    </row>
    <row r="120" spans="1:3">
      <c r="A120" s="121" t="s">
        <v>314</v>
      </c>
      <c r="B120" s="107"/>
      <c r="C120" s="104">
        <f>SUM(C121:C122)</f>
        <v>9895600</v>
      </c>
    </row>
    <row r="121" spans="1:3">
      <c r="A121" s="117" t="s">
        <v>330</v>
      </c>
      <c r="B121" s="107"/>
      <c r="C121" s="67">
        <f>C31</f>
        <v>9658000</v>
      </c>
    </row>
    <row r="122" spans="1:3">
      <c r="A122" s="117" t="s">
        <v>331</v>
      </c>
      <c r="B122" s="107"/>
      <c r="C122" s="106">
        <f>SUM(C8*0.3)</f>
        <v>237600</v>
      </c>
    </row>
    <row r="123" spans="1:3">
      <c r="B123" s="107"/>
      <c r="C123" s="67"/>
    </row>
    <row r="124" spans="1:3">
      <c r="A124" s="121" t="s">
        <v>332</v>
      </c>
      <c r="B124" s="107"/>
      <c r="C124" s="104">
        <f>SUM(C125:C126)</f>
        <v>9895600</v>
      </c>
    </row>
    <row r="125" spans="1:3">
      <c r="A125" s="117" t="s">
        <v>330</v>
      </c>
      <c r="B125" s="107"/>
      <c r="C125" s="67">
        <f>C31</f>
        <v>9658000</v>
      </c>
    </row>
    <row r="126" spans="1:3">
      <c r="A126" s="117" t="s">
        <v>331</v>
      </c>
      <c r="B126" s="107"/>
      <c r="C126" s="106">
        <f>SUM(C8*0.3)</f>
        <v>237600</v>
      </c>
    </row>
    <row r="127" spans="1:3">
      <c r="B127" s="107"/>
      <c r="C127" s="67"/>
    </row>
    <row r="128" spans="1:3">
      <c r="A128" s="121" t="s">
        <v>322</v>
      </c>
      <c r="B128" s="107"/>
      <c r="C128" s="104">
        <f>SUM(C129:C130)</f>
        <v>9895600</v>
      </c>
    </row>
    <row r="129" spans="1:3">
      <c r="A129" s="117" t="s">
        <v>330</v>
      </c>
      <c r="B129" s="107"/>
      <c r="C129" s="67">
        <f>C31</f>
        <v>9658000</v>
      </c>
    </row>
    <row r="130" spans="1:3">
      <c r="A130" s="117" t="s">
        <v>331</v>
      </c>
      <c r="B130" s="107"/>
      <c r="C130" s="106">
        <f>SUM(C8*0.3)</f>
        <v>237600</v>
      </c>
    </row>
    <row r="131" spans="1:3">
      <c r="B131" s="107"/>
      <c r="C131" s="67"/>
    </row>
    <row r="132" spans="1:3">
      <c r="A132" s="121" t="s">
        <v>325</v>
      </c>
      <c r="B132" s="107"/>
      <c r="C132" s="104">
        <f>SUM(C133:C134)</f>
        <v>9895600</v>
      </c>
    </row>
    <row r="133" spans="1:3">
      <c r="A133" s="117" t="s">
        <v>330</v>
      </c>
      <c r="B133" s="107"/>
      <c r="C133" s="67">
        <f>C31</f>
        <v>9658000</v>
      </c>
    </row>
    <row r="134" spans="1:3">
      <c r="A134" s="125" t="s">
        <v>331</v>
      </c>
      <c r="B134" s="130"/>
      <c r="C134" s="131">
        <f>SUM(C8*0.3)</f>
        <v>237600</v>
      </c>
    </row>
    <row r="138" spans="1:3" ht="28.35">
      <c r="A138" s="27" t="s">
        <v>333</v>
      </c>
    </row>
    <row r="139" spans="1:3">
      <c r="A139" s="117" t="s">
        <v>328</v>
      </c>
    </row>
    <row r="141" spans="1:3">
      <c r="A141" s="33" t="s">
        <v>105</v>
      </c>
      <c r="B141" s="34"/>
      <c r="C141" s="36" t="s">
        <v>329</v>
      </c>
    </row>
    <row r="142" spans="1:3">
      <c r="A142" s="139" t="s">
        <v>309</v>
      </c>
      <c r="B142" s="140"/>
      <c r="C142" s="104">
        <f>SUM(C143:C145)</f>
        <v>7140000</v>
      </c>
    </row>
    <row r="143" spans="1:3">
      <c r="A143" s="117" t="s">
        <v>334</v>
      </c>
      <c r="B143" s="107"/>
      <c r="C143" s="67">
        <f>C55</f>
        <v>570000</v>
      </c>
    </row>
    <row r="144" spans="1:3">
      <c r="A144" s="117" t="s">
        <v>335</v>
      </c>
      <c r="B144" s="107"/>
      <c r="C144" s="67">
        <f>SUM(E51*Introduction!D33*8760)</f>
        <v>963600.00000000012</v>
      </c>
    </row>
    <row r="145" spans="1:4">
      <c r="A145" s="117" t="s">
        <v>336</v>
      </c>
      <c r="B145" s="107"/>
      <c r="C145" s="106">
        <f>SUM(8*8760*80)</f>
        <v>5606400</v>
      </c>
      <c r="D145" s="117" t="s">
        <v>337</v>
      </c>
    </row>
    <row r="146" spans="1:4">
      <c r="A146" s="37"/>
      <c r="B146" s="38"/>
      <c r="C146" s="104"/>
    </row>
    <row r="147" spans="1:4">
      <c r="A147" s="121" t="s">
        <v>314</v>
      </c>
      <c r="B147" s="107"/>
      <c r="C147" s="104">
        <f>SUM(C148:C150)</f>
        <v>8874480</v>
      </c>
    </row>
    <row r="148" spans="1:4">
      <c r="A148" s="117" t="s">
        <v>334</v>
      </c>
      <c r="B148" s="107"/>
      <c r="C148" s="67">
        <f>C55</f>
        <v>570000</v>
      </c>
    </row>
    <row r="149" spans="1:4">
      <c r="A149" s="117" t="s">
        <v>335</v>
      </c>
      <c r="B149" s="107"/>
      <c r="C149" s="67">
        <f>SUM(E51*Introduction!D34*8760)</f>
        <v>2698080</v>
      </c>
    </row>
    <row r="150" spans="1:4">
      <c r="A150" s="117" t="s">
        <v>336</v>
      </c>
      <c r="B150" s="107"/>
      <c r="C150" s="106">
        <f>SUM(8*8760*80)</f>
        <v>5606400</v>
      </c>
    </row>
    <row r="151" spans="1:4">
      <c r="B151" s="107"/>
      <c r="C151" s="67"/>
    </row>
    <row r="152" spans="1:4">
      <c r="A152" s="121" t="s">
        <v>332</v>
      </c>
      <c r="B152" s="107"/>
      <c r="C152" s="104">
        <f>SUM(C153:C155)</f>
        <v>8103600</v>
      </c>
    </row>
    <row r="153" spans="1:4">
      <c r="A153" s="117" t="s">
        <v>334</v>
      </c>
      <c r="B153" s="107"/>
      <c r="C153" s="67">
        <f>C55</f>
        <v>570000</v>
      </c>
    </row>
    <row r="154" spans="1:4">
      <c r="A154" s="117" t="s">
        <v>335</v>
      </c>
      <c r="B154" s="107"/>
      <c r="C154" s="67">
        <f>SUM(E51*Introduction!D35*8760)</f>
        <v>1927200.0000000002</v>
      </c>
    </row>
    <row r="155" spans="1:4">
      <c r="A155" s="117" t="s">
        <v>336</v>
      </c>
      <c r="B155" s="107"/>
      <c r="C155" s="106">
        <f>SUM(8*8760*80)</f>
        <v>5606400</v>
      </c>
    </row>
    <row r="156" spans="1:4">
      <c r="B156" s="107"/>
      <c r="C156" s="67"/>
    </row>
    <row r="157" spans="1:4">
      <c r="A157" s="121" t="s">
        <v>322</v>
      </c>
      <c r="B157" s="107"/>
      <c r="C157" s="104">
        <f>SUM(C158:C160)</f>
        <v>8010880</v>
      </c>
    </row>
    <row r="158" spans="1:4">
      <c r="A158" s="117" t="s">
        <v>334</v>
      </c>
      <c r="B158" s="107"/>
      <c r="C158" s="67">
        <f>C55</f>
        <v>570000</v>
      </c>
    </row>
    <row r="159" spans="1:4">
      <c r="A159" s="117" t="s">
        <v>335</v>
      </c>
      <c r="B159" s="107"/>
      <c r="C159" s="67">
        <f>SUM(E51*Introduction!D36*8760)</f>
        <v>1734480.0000000002</v>
      </c>
    </row>
    <row r="160" spans="1:4">
      <c r="A160" s="117" t="s">
        <v>336</v>
      </c>
      <c r="B160" s="107"/>
      <c r="C160" s="106">
        <f>SUM((8*8760*80)+100000)</f>
        <v>5706400</v>
      </c>
    </row>
    <row r="161" spans="1:14">
      <c r="B161" s="107"/>
      <c r="C161" s="67"/>
    </row>
    <row r="162" spans="1:14">
      <c r="A162" s="121" t="s">
        <v>325</v>
      </c>
      <c r="B162" s="107"/>
      <c r="C162" s="104">
        <f>SUM(C163:C165)</f>
        <v>7910880</v>
      </c>
    </row>
    <row r="163" spans="1:14">
      <c r="A163" s="117" t="s">
        <v>334</v>
      </c>
      <c r="B163" s="107"/>
      <c r="C163" s="67">
        <f>C55</f>
        <v>570000</v>
      </c>
    </row>
    <row r="164" spans="1:14">
      <c r="A164" s="117" t="s">
        <v>335</v>
      </c>
      <c r="B164" s="107"/>
      <c r="C164" s="67">
        <f>SUM(E51*Introduction!D37*8760)</f>
        <v>1734480.0000000002</v>
      </c>
    </row>
    <row r="165" spans="1:14">
      <c r="A165" s="125" t="s">
        <v>336</v>
      </c>
      <c r="B165" s="130"/>
      <c r="C165" s="131">
        <f>SUM(8*8760*80)</f>
        <v>5606400</v>
      </c>
    </row>
    <row r="166" spans="1:14">
      <c r="A166" s="117"/>
      <c r="B166" s="107"/>
      <c r="C166" s="134"/>
    </row>
    <row r="169" spans="1:14" ht="28.35">
      <c r="A169" s="27" t="s">
        <v>338</v>
      </c>
      <c r="B169" s="3"/>
      <c r="C169" s="3"/>
      <c r="D169" s="3"/>
      <c r="E169" s="3"/>
      <c r="F169" s="3"/>
      <c r="G169" s="3"/>
      <c r="H169" s="3"/>
      <c r="I169" s="3"/>
      <c r="J169" s="7"/>
      <c r="K169" s="3"/>
      <c r="L169" s="3"/>
      <c r="M169" s="3"/>
      <c r="N169" s="3"/>
    </row>
    <row r="170" spans="1:14">
      <c r="A170" s="7" t="s">
        <v>201</v>
      </c>
      <c r="B170" s="3"/>
      <c r="C170" s="3"/>
      <c r="D170" s="3"/>
      <c r="E170" s="3"/>
      <c r="F170" s="3"/>
      <c r="G170" s="3"/>
      <c r="H170" s="3"/>
      <c r="I170" s="3"/>
      <c r="J170" s="7"/>
      <c r="K170" s="3"/>
      <c r="L170" s="3"/>
      <c r="M170" s="3"/>
      <c r="N170" s="3"/>
    </row>
    <row r="171" spans="1:14">
      <c r="A171" s="7"/>
      <c r="B171" s="3"/>
      <c r="C171" s="3"/>
      <c r="D171" s="3"/>
      <c r="E171" s="3"/>
      <c r="F171" s="3"/>
      <c r="G171" s="3"/>
      <c r="H171" s="3"/>
      <c r="I171" s="3"/>
      <c r="J171" s="7"/>
      <c r="K171" s="3"/>
      <c r="L171" s="3"/>
      <c r="M171" s="3"/>
      <c r="N171" s="3"/>
    </row>
    <row r="172" spans="1:14">
      <c r="A172" s="59"/>
      <c r="B172" s="60"/>
      <c r="C172" s="60" t="s">
        <v>202</v>
      </c>
      <c r="D172" s="60" t="s">
        <v>203</v>
      </c>
      <c r="E172" s="60" t="s">
        <v>204</v>
      </c>
      <c r="F172" s="60" t="s">
        <v>205</v>
      </c>
      <c r="G172" s="60" t="s">
        <v>206</v>
      </c>
      <c r="H172" s="60" t="s">
        <v>207</v>
      </c>
      <c r="I172" s="60" t="s">
        <v>208</v>
      </c>
      <c r="J172" s="60" t="s">
        <v>209</v>
      </c>
      <c r="K172" s="60" t="s">
        <v>210</v>
      </c>
      <c r="L172" s="60" t="s">
        <v>211</v>
      </c>
      <c r="M172" s="61" t="s">
        <v>212</v>
      </c>
      <c r="N172" s="62"/>
    </row>
    <row r="173" spans="1:14">
      <c r="A173" s="15" t="s">
        <v>213</v>
      </c>
      <c r="B173" s="63"/>
      <c r="C173" s="63"/>
      <c r="D173" s="63">
        <f>SUM(D174:D175)</f>
        <v>2950000</v>
      </c>
      <c r="E173" s="63">
        <f t="shared" ref="E173:M176" si="0">D173</f>
        <v>2950000</v>
      </c>
      <c r="F173" s="63">
        <f t="shared" si="0"/>
        <v>2950000</v>
      </c>
      <c r="G173" s="63">
        <f t="shared" si="0"/>
        <v>2950000</v>
      </c>
      <c r="H173" s="63">
        <f t="shared" si="0"/>
        <v>2950000</v>
      </c>
      <c r="I173" s="63">
        <f t="shared" si="0"/>
        <v>2950000</v>
      </c>
      <c r="J173" s="63">
        <f t="shared" si="0"/>
        <v>2950000</v>
      </c>
      <c r="K173" s="63">
        <f t="shared" si="0"/>
        <v>2950000</v>
      </c>
      <c r="L173" s="63">
        <f t="shared" si="0"/>
        <v>2950000</v>
      </c>
      <c r="M173" s="64">
        <f t="shared" si="0"/>
        <v>2950000</v>
      </c>
      <c r="N173" s="58"/>
    </row>
    <row r="174" spans="1:14">
      <c r="A174" s="65" t="s">
        <v>339</v>
      </c>
      <c r="B174" s="3"/>
      <c r="C174" s="3"/>
      <c r="D174" s="66">
        <f>-C42</f>
        <v>-220000</v>
      </c>
      <c r="E174" s="66">
        <f t="shared" si="0"/>
        <v>-220000</v>
      </c>
      <c r="F174" s="66">
        <f t="shared" si="0"/>
        <v>-220000</v>
      </c>
      <c r="G174" s="66">
        <f t="shared" si="0"/>
        <v>-220000</v>
      </c>
      <c r="H174" s="66">
        <f t="shared" si="0"/>
        <v>-220000</v>
      </c>
      <c r="I174" s="66">
        <f t="shared" si="0"/>
        <v>-220000</v>
      </c>
      <c r="J174" s="66">
        <f t="shared" si="0"/>
        <v>-220000</v>
      </c>
      <c r="K174" s="66">
        <f t="shared" si="0"/>
        <v>-220000</v>
      </c>
      <c r="L174" s="66">
        <f t="shared" si="0"/>
        <v>-220000</v>
      </c>
      <c r="M174" s="67">
        <f t="shared" si="0"/>
        <v>-220000</v>
      </c>
      <c r="N174" s="3"/>
    </row>
    <row r="175" spans="1:14">
      <c r="A175" s="65" t="s">
        <v>340</v>
      </c>
      <c r="B175" s="66" t="s">
        <v>341</v>
      </c>
      <c r="C175" s="3"/>
      <c r="D175" s="66">
        <f>C48</f>
        <v>3170000</v>
      </c>
      <c r="E175" s="66">
        <f>D175</f>
        <v>3170000</v>
      </c>
      <c r="F175" s="66">
        <f t="shared" si="0"/>
        <v>3170000</v>
      </c>
      <c r="G175" s="66">
        <f t="shared" si="0"/>
        <v>3170000</v>
      </c>
      <c r="H175" s="66">
        <f t="shared" si="0"/>
        <v>3170000</v>
      </c>
      <c r="I175" s="66">
        <f t="shared" si="0"/>
        <v>3170000</v>
      </c>
      <c r="J175" s="66">
        <f t="shared" si="0"/>
        <v>3170000</v>
      </c>
      <c r="K175" s="66">
        <f t="shared" si="0"/>
        <v>3170000</v>
      </c>
      <c r="L175" s="66">
        <f t="shared" si="0"/>
        <v>3170000</v>
      </c>
      <c r="M175" s="67">
        <f t="shared" si="0"/>
        <v>3170000</v>
      </c>
      <c r="N175" s="3"/>
    </row>
    <row r="176" spans="1:14">
      <c r="A176" s="68" t="s">
        <v>342</v>
      </c>
      <c r="B176" s="69"/>
      <c r="C176" s="69"/>
      <c r="D176" s="70">
        <v>0</v>
      </c>
      <c r="E176" s="70">
        <f>D176</f>
        <v>0</v>
      </c>
      <c r="F176" s="70">
        <f>E176</f>
        <v>0</v>
      </c>
      <c r="G176" s="70">
        <f>F176</f>
        <v>0</v>
      </c>
      <c r="H176" s="70">
        <f t="shared" si="0"/>
        <v>0</v>
      </c>
      <c r="I176" s="70">
        <f t="shared" si="0"/>
        <v>0</v>
      </c>
      <c r="J176" s="70">
        <f t="shared" si="0"/>
        <v>0</v>
      </c>
      <c r="K176" s="70">
        <f t="shared" si="0"/>
        <v>0</v>
      </c>
      <c r="L176" s="70">
        <f t="shared" si="0"/>
        <v>0</v>
      </c>
      <c r="M176" s="70">
        <f t="shared" si="0"/>
        <v>0</v>
      </c>
      <c r="N176" s="3"/>
    </row>
    <row r="177" spans="1:14">
      <c r="A177" s="15" t="s">
        <v>221</v>
      </c>
      <c r="B177" s="63"/>
      <c r="C177" s="63">
        <f>SUM(C178:C180)</f>
        <v>-792000</v>
      </c>
      <c r="D177" s="63">
        <v>0</v>
      </c>
      <c r="E177" s="63">
        <v>0</v>
      </c>
      <c r="F177" s="63">
        <v>0</v>
      </c>
      <c r="G177" s="63">
        <v>0</v>
      </c>
      <c r="H177" s="63">
        <v>0</v>
      </c>
      <c r="I177" s="63">
        <v>0</v>
      </c>
      <c r="J177" s="63">
        <v>0</v>
      </c>
      <c r="K177" s="63">
        <v>0</v>
      </c>
      <c r="L177" s="63">
        <v>0</v>
      </c>
      <c r="M177" s="64">
        <v>0</v>
      </c>
      <c r="N177" s="58"/>
    </row>
    <row r="178" spans="1:14">
      <c r="A178" s="65" t="s">
        <v>339</v>
      </c>
      <c r="B178" s="3"/>
      <c r="C178" s="66">
        <f>-C8</f>
        <v>-792000</v>
      </c>
      <c r="D178" s="72"/>
      <c r="E178" s="72"/>
      <c r="F178" s="72"/>
      <c r="G178" s="72"/>
      <c r="H178" s="72"/>
      <c r="I178" s="72"/>
      <c r="J178" s="72"/>
      <c r="K178" s="72"/>
      <c r="L178" s="72"/>
      <c r="M178" s="73"/>
      <c r="N178" s="3"/>
    </row>
    <row r="179" spans="1:14">
      <c r="A179" s="65" t="s">
        <v>343</v>
      </c>
      <c r="B179" s="66">
        <f>C22</f>
        <v>10450000</v>
      </c>
      <c r="C179" s="66">
        <f>-SUM(D119)</f>
        <v>0</v>
      </c>
      <c r="D179" s="72"/>
      <c r="E179" s="72"/>
      <c r="F179" s="72"/>
      <c r="G179" s="72"/>
      <c r="H179" s="72"/>
      <c r="I179" s="72"/>
      <c r="J179" s="72"/>
      <c r="K179" s="72"/>
      <c r="L179" s="72"/>
      <c r="M179" s="73"/>
      <c r="N179" s="3"/>
    </row>
    <row r="180" spans="1:14">
      <c r="A180" s="65"/>
      <c r="B180" s="3"/>
      <c r="C180" s="66">
        <f>-SUM(D111)</f>
        <v>0</v>
      </c>
      <c r="D180" s="72"/>
      <c r="E180" s="72"/>
      <c r="F180" s="72"/>
      <c r="G180" s="72"/>
      <c r="H180" s="72"/>
      <c r="I180" s="72"/>
      <c r="J180" s="72"/>
      <c r="K180" s="72"/>
      <c r="L180" s="72"/>
      <c r="M180" s="73"/>
      <c r="N180" s="3"/>
    </row>
    <row r="181" spans="1:14">
      <c r="A181" s="15" t="s">
        <v>224</v>
      </c>
      <c r="B181" s="74"/>
      <c r="C181" s="63">
        <f>SUM(C182)</f>
        <v>0</v>
      </c>
      <c r="D181" s="63">
        <f>SUM(D182:D183)</f>
        <v>0</v>
      </c>
      <c r="E181" s="63">
        <f t="shared" ref="E181:M181" si="1">SUM(E182:E183)</f>
        <v>0</v>
      </c>
      <c r="F181" s="63">
        <f t="shared" si="1"/>
        <v>0</v>
      </c>
      <c r="G181" s="63">
        <f t="shared" si="1"/>
        <v>0</v>
      </c>
      <c r="H181" s="63">
        <f t="shared" si="1"/>
        <v>0</v>
      </c>
      <c r="I181" s="63">
        <f t="shared" si="1"/>
        <v>0</v>
      </c>
      <c r="J181" s="63">
        <f t="shared" si="1"/>
        <v>0</v>
      </c>
      <c r="K181" s="63">
        <f t="shared" si="1"/>
        <v>0</v>
      </c>
      <c r="L181" s="63">
        <f t="shared" si="1"/>
        <v>0</v>
      </c>
      <c r="M181" s="64">
        <f t="shared" si="1"/>
        <v>0</v>
      </c>
      <c r="N181" s="58"/>
    </row>
    <row r="182" spans="1:14">
      <c r="A182" s="65" t="s">
        <v>225</v>
      </c>
      <c r="B182" s="3"/>
      <c r="C182" s="72">
        <f>SUM(C177*H69)</f>
        <v>0</v>
      </c>
      <c r="D182" s="3"/>
      <c r="E182" s="72"/>
      <c r="F182" s="72"/>
      <c r="G182" s="72"/>
      <c r="H182" s="72"/>
      <c r="I182" s="72"/>
      <c r="J182" s="72"/>
      <c r="K182" s="72"/>
      <c r="L182" s="72"/>
      <c r="M182" s="73"/>
      <c r="N182" s="3"/>
    </row>
    <row r="183" spans="1:14">
      <c r="A183" s="65" t="s">
        <v>344</v>
      </c>
      <c r="B183" s="3"/>
      <c r="C183" s="72"/>
      <c r="D183" s="72">
        <f>SUM(H70*D176)</f>
        <v>0</v>
      </c>
      <c r="E183" s="72">
        <f>D183</f>
        <v>0</v>
      </c>
      <c r="F183" s="72">
        <f t="shared" ref="F183:M183" si="2">E183</f>
        <v>0</v>
      </c>
      <c r="G183" s="72">
        <f t="shared" si="2"/>
        <v>0</v>
      </c>
      <c r="H183" s="72">
        <f t="shared" si="2"/>
        <v>0</v>
      </c>
      <c r="I183" s="72">
        <f t="shared" si="2"/>
        <v>0</v>
      </c>
      <c r="J183" s="72">
        <f t="shared" si="2"/>
        <v>0</v>
      </c>
      <c r="K183" s="72">
        <f t="shared" si="2"/>
        <v>0</v>
      </c>
      <c r="L183" s="72">
        <f t="shared" si="2"/>
        <v>0</v>
      </c>
      <c r="M183" s="73">
        <f t="shared" si="2"/>
        <v>0</v>
      </c>
      <c r="N183" s="3"/>
    </row>
    <row r="184" spans="1:14">
      <c r="A184" s="15" t="s">
        <v>227</v>
      </c>
      <c r="B184" s="9"/>
      <c r="C184" s="75">
        <f>SUM(C177-C182)</f>
        <v>-792000</v>
      </c>
      <c r="D184" s="75">
        <f t="shared" ref="D184:M184" si="3">SUM(D177+D173+D181)</f>
        <v>2950000</v>
      </c>
      <c r="E184" s="75">
        <f t="shared" si="3"/>
        <v>2950000</v>
      </c>
      <c r="F184" s="75">
        <f t="shared" si="3"/>
        <v>2950000</v>
      </c>
      <c r="G184" s="75">
        <f t="shared" si="3"/>
        <v>2950000</v>
      </c>
      <c r="H184" s="75">
        <f t="shared" si="3"/>
        <v>2950000</v>
      </c>
      <c r="I184" s="75">
        <f t="shared" si="3"/>
        <v>2950000</v>
      </c>
      <c r="J184" s="75">
        <f t="shared" si="3"/>
        <v>2950000</v>
      </c>
      <c r="K184" s="75">
        <f t="shared" si="3"/>
        <v>2950000</v>
      </c>
      <c r="L184" s="75">
        <f t="shared" si="3"/>
        <v>2950000</v>
      </c>
      <c r="M184" s="76">
        <f t="shared" si="3"/>
        <v>2950000</v>
      </c>
      <c r="N184" s="3"/>
    </row>
    <row r="185" spans="1:14">
      <c r="A185" s="18" t="s">
        <v>228</v>
      </c>
      <c r="B185" s="23"/>
      <c r="C185" s="77">
        <f>SUM(C184)</f>
        <v>-792000</v>
      </c>
      <c r="D185" s="77">
        <f>SUM(C185+D184)</f>
        <v>2158000</v>
      </c>
      <c r="E185" s="77">
        <f t="shared" ref="E185:M185" si="4">SUM(D185+E184)</f>
        <v>5108000</v>
      </c>
      <c r="F185" s="77">
        <f t="shared" si="4"/>
        <v>8058000</v>
      </c>
      <c r="G185" s="77">
        <f t="shared" si="4"/>
        <v>11008000</v>
      </c>
      <c r="H185" s="77">
        <f t="shared" si="4"/>
        <v>13958000</v>
      </c>
      <c r="I185" s="77">
        <f t="shared" si="4"/>
        <v>16908000</v>
      </c>
      <c r="J185" s="77">
        <f t="shared" si="4"/>
        <v>19858000</v>
      </c>
      <c r="K185" s="77">
        <f t="shared" si="4"/>
        <v>22808000</v>
      </c>
      <c r="L185" s="77">
        <f t="shared" si="4"/>
        <v>25758000</v>
      </c>
      <c r="M185" s="78">
        <f t="shared" si="4"/>
        <v>28708000</v>
      </c>
      <c r="N185" s="3"/>
    </row>
    <row r="186" spans="1:14">
      <c r="A186" s="3"/>
      <c r="B186" s="3"/>
      <c r="C186" s="3"/>
      <c r="D186" s="3"/>
      <c r="E186" s="3"/>
      <c r="F186" s="3"/>
      <c r="G186" s="3"/>
      <c r="H186" s="3"/>
      <c r="I186" s="3"/>
      <c r="J186" s="7"/>
      <c r="K186" s="3"/>
      <c r="L186" s="3"/>
      <c r="M186" s="3"/>
      <c r="N186" s="3"/>
    </row>
    <row r="187" spans="1:14">
      <c r="A187" s="3"/>
      <c r="B187" s="3"/>
      <c r="C187" s="3"/>
      <c r="D187" s="3"/>
      <c r="E187" s="3"/>
      <c r="F187" s="3"/>
      <c r="G187" s="3"/>
      <c r="H187" s="3"/>
      <c r="I187" s="3"/>
      <c r="J187" s="7"/>
      <c r="K187" s="3"/>
      <c r="L187" s="3"/>
      <c r="M187" s="3"/>
      <c r="N187" s="3"/>
    </row>
    <row r="188" spans="1:14">
      <c r="A188" s="3"/>
      <c r="B188" s="3"/>
      <c r="C188" s="3"/>
      <c r="D188" s="3"/>
      <c r="E188" s="3"/>
      <c r="F188" s="3"/>
      <c r="G188" s="3"/>
      <c r="H188" s="3"/>
      <c r="I188" s="3"/>
      <c r="J188" s="7"/>
      <c r="K188" s="3"/>
      <c r="L188" s="3"/>
      <c r="M188" s="3"/>
      <c r="N188" s="3"/>
    </row>
    <row r="189" spans="1:14" ht="28.35">
      <c r="A189" s="27" t="s">
        <v>345</v>
      </c>
      <c r="B189" s="3"/>
      <c r="C189" s="3"/>
      <c r="D189" s="3"/>
      <c r="E189" s="3"/>
      <c r="F189" s="3"/>
      <c r="G189" s="3"/>
      <c r="H189" s="3"/>
      <c r="I189" s="3"/>
      <c r="J189" s="7"/>
      <c r="K189" s="3"/>
      <c r="L189" s="3"/>
      <c r="M189" s="3"/>
      <c r="N189" s="3"/>
    </row>
    <row r="190" spans="1:14">
      <c r="A190" s="3"/>
      <c r="B190" s="3"/>
      <c r="C190" s="3"/>
      <c r="D190" s="3"/>
      <c r="E190" s="3"/>
      <c r="F190" s="3"/>
      <c r="G190" s="3"/>
      <c r="H190" s="3"/>
      <c r="I190" s="3"/>
      <c r="J190" s="7"/>
      <c r="K190" s="3"/>
      <c r="L190" s="3"/>
      <c r="M190" s="3"/>
      <c r="N190" s="3"/>
    </row>
    <row r="191" spans="1:14">
      <c r="A191" s="4" t="s">
        <v>230</v>
      </c>
      <c r="B191" s="5"/>
      <c r="C191" s="79">
        <f>SUM(-C184/D184)</f>
        <v>0.26847457627118643</v>
      </c>
      <c r="D191" s="3"/>
      <c r="E191" s="3"/>
      <c r="F191" s="3"/>
      <c r="G191" s="3"/>
      <c r="H191" s="3"/>
      <c r="I191" s="3"/>
      <c r="J191" s="7"/>
      <c r="K191" s="3"/>
      <c r="L191" s="3"/>
      <c r="M191" s="3"/>
      <c r="N191" s="3"/>
    </row>
    <row r="192" spans="1:14">
      <c r="A192" s="18" t="s">
        <v>231</v>
      </c>
      <c r="B192" s="23"/>
      <c r="C192" s="80">
        <f>SUM(M185)</f>
        <v>28708000</v>
      </c>
      <c r="D192" s="3"/>
      <c r="E192" s="3"/>
      <c r="F192" s="3"/>
      <c r="G192" s="3"/>
      <c r="H192" s="3"/>
      <c r="I192" s="3"/>
      <c r="J192" s="7"/>
      <c r="K192" s="3"/>
      <c r="L192" s="3"/>
      <c r="M192" s="3"/>
      <c r="N192" s="3"/>
    </row>
    <row r="193" spans="1:14">
      <c r="A193" s="3"/>
      <c r="B193" s="3"/>
      <c r="C193" s="3"/>
      <c r="D193" s="3"/>
      <c r="E193" s="3"/>
      <c r="F193" s="3"/>
      <c r="G193" s="3"/>
      <c r="H193" s="3"/>
      <c r="I193" s="3"/>
      <c r="J193" s="7"/>
      <c r="K193" s="3"/>
      <c r="L193" s="3"/>
      <c r="M193" s="3"/>
      <c r="N193" s="3"/>
    </row>
  </sheetData>
  <mergeCells count="6">
    <mergeCell ref="A142:B142"/>
    <mergeCell ref="A42:B42"/>
    <mergeCell ref="A56:B56"/>
    <mergeCell ref="A8:B8"/>
    <mergeCell ref="A31:B31"/>
    <mergeCell ref="A116:B1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B5C1-5CA1-44C2-BC18-F4321AB86D46}">
  <dimension ref="A2"/>
  <sheetViews>
    <sheetView zoomScale="93" zoomScaleNormal="93" workbookViewId="0"/>
  </sheetViews>
  <sheetFormatPr defaultColWidth="9.28515625" defaultRowHeight="14.65"/>
  <cols>
    <col min="1" max="16384" width="9.28515625" style="81"/>
  </cols>
  <sheetData>
    <row r="2" spans="1:1" ht="33.4">
      <c r="A2" s="1" t="s">
        <v>346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2E09C39981B54BB830E1F081C86A25" ma:contentTypeVersion="11" ma:contentTypeDescription="Create a new document." ma:contentTypeScope="" ma:versionID="234c582f117e5772f7c0b054bee36c91">
  <xsd:schema xmlns:xsd="http://www.w3.org/2001/XMLSchema" xmlns:xs="http://www.w3.org/2001/XMLSchema" xmlns:p="http://schemas.microsoft.com/office/2006/metadata/properties" xmlns:ns1="http://schemas.microsoft.com/sharepoint/v3" xmlns:ns2="54e8acca-44f9-4eed-b2ee-136d146ad825" targetNamespace="http://schemas.microsoft.com/office/2006/metadata/properties" ma:root="true" ma:fieldsID="ee46b74fbf6ddcf72274b00ef8da8331" ns1:_="" ns2:_="">
    <xsd:import namespace="http://schemas.microsoft.com/sharepoint/v3"/>
    <xsd:import namespace="54e8acca-44f9-4eed-b2ee-136d146ad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e8acca-44f9-4eed-b2ee-136d146ad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E79252-9025-4B63-96B6-FC8A17A07C57}"/>
</file>

<file path=customXml/itemProps2.xml><?xml version="1.0" encoding="utf-8"?>
<ds:datastoreItem xmlns:ds="http://schemas.openxmlformats.org/officeDocument/2006/customXml" ds:itemID="{8C4DD25F-12B0-4DAD-8C10-A750CF42AA58}"/>
</file>

<file path=customXml/itemProps3.xml><?xml version="1.0" encoding="utf-8"?>
<ds:datastoreItem xmlns:ds="http://schemas.openxmlformats.org/officeDocument/2006/customXml" ds:itemID="{60FF27CD-3D3D-4AA0-90A6-C44E2B27EAC4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Petter Terenius</dc:creator>
  <cp:keywords/>
  <dc:description/>
  <cp:lastModifiedBy>Bharath Ramakrishnan</cp:lastModifiedBy>
  <cp:revision/>
  <dcterms:created xsi:type="dcterms:W3CDTF">2025-08-09T17:13:03Z</dcterms:created>
  <dcterms:modified xsi:type="dcterms:W3CDTF">2025-09-04T18:06:22Z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0x010100142E09C39981B54BB830E1F081C86A25</vt:lpwstr>
  </property>
</Properties>
</file>